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Projects\StrataScratch\Data Projects\Hospitalization Hypothesis Testing\"/>
    </mc:Choice>
  </mc:AlternateContent>
  <xr:revisionPtr revIDLastSave="0" documentId="13_ncr:1_{F7E4B8E4-E2B0-461D-BC9A-408F46694FF6}" xr6:coauthVersionLast="47" xr6:coauthVersionMax="47" xr10:uidLastSave="{00000000-0000-0000-0000-000000000000}"/>
  <bookViews>
    <workbookView xWindow="-120" yWindow="-120" windowWidth="29040" windowHeight="17520" xr2:uid="{00000000-000D-0000-FFFF-FFFF00000000}"/>
  </bookViews>
  <sheets>
    <sheet name="Problem Statement" sheetId="9" r:id="rId1"/>
    <sheet name="Executive Summary" sheetId="8" r:id="rId2"/>
    <sheet name="Recoomendations" sheetId="7" state="hidden" r:id="rId3"/>
    <sheet name="Univariate Analysis" sheetId="2" r:id="rId4"/>
    <sheet name="Hypothesis Testing - Smoking" sheetId="3" r:id="rId5"/>
    <sheet name="Correlation - Viral" sheetId="4" r:id="rId6"/>
    <sheet name="ANOVA - Severity" sheetId="5" r:id="rId7"/>
    <sheet name="Chi Square - Regions" sheetId="6" r:id="rId8"/>
    <sheet name="Raw Data" sheetId="1" r:id="rId9"/>
  </sheets>
  <definedNames>
    <definedName name="_xlnm._FilterDatabase" localSheetId="5" hidden="1">'Correlation - Viral'!$C$5:$D$1343</definedName>
    <definedName name="_xlnm._FilterDatabase" localSheetId="4" hidden="1">'Hypothesis Testing - Smoking'!$E$13:$G$15</definedName>
    <definedName name="_xlnm._FilterDatabase" localSheetId="8" hidden="1">'Raw Data'!$C$4:$J$1342</definedName>
    <definedName name="_xlnm._FilterDatabase" localSheetId="3" hidden="1">'Univariate Analysis'!$O$7:$P$7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0" i="6" l="1"/>
  <c r="H6" i="5"/>
  <c r="G6" i="5"/>
  <c r="F6" i="5"/>
  <c r="E6" i="5"/>
  <c r="D6" i="5"/>
  <c r="C6" i="5"/>
  <c r="H7" i="5"/>
  <c r="G7" i="5"/>
  <c r="F7" i="5"/>
  <c r="E7" i="5"/>
  <c r="D7" i="5"/>
  <c r="C7" i="5"/>
  <c r="G12" i="4"/>
  <c r="N1" i="1" l="1"/>
  <c r="G14" i="3" s="1"/>
  <c r="M1" i="1"/>
  <c r="G15" i="3" s="1"/>
  <c r="N2" i="1"/>
  <c r="M2" i="1"/>
  <c r="F15" i="3"/>
  <c r="F14" i="3"/>
  <c r="P21" i="2"/>
  <c r="P20" i="2"/>
  <c r="P19" i="2"/>
  <c r="P18" i="2"/>
  <c r="P17" i="2"/>
  <c r="P16" i="2"/>
  <c r="P15" i="2"/>
  <c r="P14" i="2"/>
  <c r="P13" i="2"/>
  <c r="P12" i="2"/>
  <c r="P11" i="2"/>
  <c r="P10" i="2"/>
  <c r="P9" i="2"/>
  <c r="P8" i="2"/>
  <c r="M20" i="2"/>
  <c r="M19" i="2"/>
  <c r="M18" i="2"/>
  <c r="M17" i="2"/>
  <c r="M16" i="2"/>
  <c r="M15" i="2"/>
  <c r="M14" i="2"/>
  <c r="M13" i="2"/>
  <c r="M12" i="2"/>
  <c r="M11" i="2"/>
  <c r="M10" i="2"/>
  <c r="M9" i="2"/>
  <c r="M8" i="2"/>
  <c r="J18" i="2"/>
  <c r="J17" i="2"/>
  <c r="J16" i="2"/>
  <c r="J15" i="2"/>
  <c r="J14" i="2"/>
  <c r="J13" i="2"/>
  <c r="G16" i="2"/>
  <c r="G15" i="2"/>
  <c r="G14" i="2"/>
  <c r="G13" i="2"/>
  <c r="J9" i="2"/>
  <c r="J8" i="2"/>
  <c r="G9" i="2"/>
  <c r="G8"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alcChain>
</file>

<file path=xl/sharedStrings.xml><?xml version="1.0" encoding="utf-8"?>
<sst xmlns="http://schemas.openxmlformats.org/spreadsheetml/2006/main" count="4211" uniqueCount="167">
  <si>
    <t>female</t>
  </si>
  <si>
    <t>yes</t>
  </si>
  <si>
    <t>southwest</t>
  </si>
  <si>
    <t>male</t>
  </si>
  <si>
    <t>no</t>
  </si>
  <si>
    <t>southeast</t>
  </si>
  <si>
    <t>northwest</t>
  </si>
  <si>
    <t>northeast</t>
  </si>
  <si>
    <t>Record ID</t>
  </si>
  <si>
    <t>Age</t>
  </si>
  <si>
    <t>Smoker</t>
  </si>
  <si>
    <t>Region</t>
  </si>
  <si>
    <t>Viral Load</t>
  </si>
  <si>
    <t>Severity Level</t>
  </si>
  <si>
    <t>Hospitalization Charges</t>
  </si>
  <si>
    <t>Sex</t>
  </si>
  <si>
    <t>Raw Data</t>
  </si>
  <si>
    <t># Records</t>
  </si>
  <si>
    <t>Total Records:</t>
  </si>
  <si>
    <t>Severity</t>
  </si>
  <si>
    <t>Virality</t>
  </si>
  <si>
    <t>Hospitalization Charges Less Than</t>
  </si>
  <si>
    <t>Univariate Analysis</t>
  </si>
  <si>
    <t>Normal Distribution</t>
  </si>
  <si>
    <t>Equal Split</t>
  </si>
  <si>
    <t>Right Skewed</t>
  </si>
  <si>
    <t>Imbalanced</t>
  </si>
  <si>
    <t>Let's pick the variable that usually has the highest impact on health costs: Smoking.</t>
  </si>
  <si>
    <t>To answer this statistically, we use Hypothesis Testing. This is a way of asking: "Is the difference in charges between smokers and non-smokers real, or did it just happen by random chance?"</t>
  </si>
  <si>
    <t>We define two hypotheses:</t>
  </si>
  <si>
    <t>Alternative Hypothesis (H_a): Smoking does affect hospitalization charges. (The averages are different).</t>
  </si>
  <si>
    <t>Null Hypothesis (H_0): Smoking has no effect on hospitalization charges. (The average charge for smokers = average charge for non-smokers).</t>
  </si>
  <si>
    <t>Average Hospitalization Charges</t>
  </si>
  <si>
    <t>Yes</t>
  </si>
  <si>
    <t>No</t>
  </si>
  <si>
    <t>Std Dev  Hospitalization Charges</t>
  </si>
  <si>
    <t>Non Smoker</t>
  </si>
  <si>
    <t>t-Test: Two-Sample Assuming Unequal Variances</t>
  </si>
  <si>
    <t>Mean</t>
  </si>
  <si>
    <t>Variance</t>
  </si>
  <si>
    <t>Observations</t>
  </si>
  <si>
    <t>Hypothesized Mean Difference</t>
  </si>
  <si>
    <t>df</t>
  </si>
  <si>
    <t>t Stat</t>
  </si>
  <si>
    <t>P(T&lt;=t) one-tail</t>
  </si>
  <si>
    <t>t Critical one-tail</t>
  </si>
  <si>
    <t>P(T&lt;=t) two-tail</t>
  </si>
  <si>
    <t>t Critical two-tail</t>
  </si>
  <si>
    <t>Non-Smoker</t>
  </si>
  <si>
    <t>Hypothesis Testing - Smoking</t>
  </si>
  <si>
    <t>Smoking is the most significant variable in determining the magnitude of hospitalization charges. A patient's smoking status is a powerful predictor for costs, with smokers costing the hospital (or insurer) nearly four times more on average. This insight is crucial for risk assessment and pricing strategies.</t>
  </si>
  <si>
    <t>Correlation Analysis - Viral Load vs Hospitalization Charges</t>
  </si>
  <si>
    <t>Now let's look at a different type of relationship: Viral Load and Hospitalization Charges. Since both are continuous (numerical) variables, the appropriate statistical tool is Correlation.</t>
  </si>
  <si>
    <t>Column 1</t>
  </si>
  <si>
    <t>Column 2</t>
  </si>
  <si>
    <t>ANOVA - Indentifying Signals in Severity</t>
  </si>
  <si>
    <t>Average</t>
  </si>
  <si>
    <t>Std Dev</t>
  </si>
  <si>
    <t>Anova: Single Factor</t>
  </si>
  <si>
    <t>SUMMARY</t>
  </si>
  <si>
    <t>Groups</t>
  </si>
  <si>
    <t>Count</t>
  </si>
  <si>
    <t>Sum</t>
  </si>
  <si>
    <t>ANOVA</t>
  </si>
  <si>
    <t>Source of Variation</t>
  </si>
  <si>
    <t>SS</t>
  </si>
  <si>
    <t>MS</t>
  </si>
  <si>
    <t>F</t>
  </si>
  <si>
    <t>P-value</t>
  </si>
  <si>
    <t>F crit</t>
  </si>
  <si>
    <t>Between Groups</t>
  </si>
  <si>
    <t>Within Groups</t>
  </si>
  <si>
    <t>Total</t>
  </si>
  <si>
    <t>Insight for Apollo Hospitals: While the overall trend is significant, the counter-intuitive drop in charges for Severity 4 and 5 (as noted in Step 7) suggests that the relationship is not purely linear. This variable is a significant factor in cost, but it interacts with other variables (like smoking, which we already saw is a dominant cost driver) and its effect is non-monotonic (doesn't just go up or down consistently).</t>
  </si>
  <si>
    <t>Chi Square - Regions</t>
  </si>
  <si>
    <t>Which variables are significant in predicting the reason for hospitalization for different regions.</t>
  </si>
  <si>
    <t>Region and Smoking</t>
  </si>
  <si>
    <t>Count (No)</t>
  </si>
  <si>
    <t>Count (Yes)</t>
  </si>
  <si>
    <t>Row Total</t>
  </si>
  <si>
    <t>Northeast</t>
  </si>
  <si>
    <t>Northwest</t>
  </si>
  <si>
    <t>Southeast</t>
  </si>
  <si>
    <t>Southwest</t>
  </si>
  <si>
    <t>Col Total</t>
  </si>
  <si>
    <t>Observed (O)</t>
  </si>
  <si>
    <t>Expected (E)</t>
  </si>
  <si>
    <t>(O−E)2/E</t>
  </si>
  <si>
    <t>NE No</t>
  </si>
  <si>
    <t>NE Yes</t>
  </si>
  <si>
    <t>NW No</t>
  </si>
  <si>
    <t>NW Yes</t>
  </si>
  <si>
    <t>SE No</t>
  </si>
  <si>
    <t>SE Yes</t>
  </si>
  <si>
    <t>SW No</t>
  </si>
  <si>
    <t>SW Yes</t>
  </si>
  <si>
    <t>TOTAL</t>
  </si>
  <si>
    <t>Degrees of Freedom = 3</t>
  </si>
  <si>
    <t>P Value</t>
  </si>
  <si>
    <t>H_0 (Null Hypothesis): Region and Smoker status are Independent (not related).</t>
  </si>
  <si>
    <t>H_a (Alternative Hypothesis): Region and Smoker status are Dependent (related).</t>
  </si>
  <si>
    <t>Since the P-value 0.0570 is slightly greater than alpha (0.05), we fail to reject the Null Hypothesis H_0.</t>
  </si>
  <si>
    <t>ANOVA tests the Null Hypothesis H_0: that the means of all groups are equal</t>
  </si>
  <si>
    <t>Decision: Since the P-value is much, much less than alpha (0.05), we reject the Null Hypothesis H_0.</t>
  </si>
  <si>
    <t>Decision: Since the absolute value of the T-statistic (32.75) is greater than the Critical T Value (1.9676), we also reject the Null Hypothesis H_0.</t>
  </si>
  <si>
    <t>The Final Conclusion:
The difference in hospitalization charges between smokers (approx $80,125 and non-smokers (approx $21,085) is statistically highly significant.</t>
  </si>
  <si>
    <t>Direction: Since r is positive (0.198), there is a positive direction. This means that as Viral Load increases, Hospitalization Charges tend to slightly increase as well.</t>
  </si>
  <si>
    <t>Strength: The value r  0.198 is classified as a very weak or bordering on weak positive relationship.</t>
  </si>
  <si>
    <t>Insight for Apollo Hospitals: While there is a statistically detectable positive link between Viral Load and Charges, the relationship is very weak. This variable alone is not a strong predictor of high hospitalization costs. Compared to Smoking (r value would be very high, which you demonstrated with the t-test), Viral Load has minimal predictive power.</t>
  </si>
  <si>
    <t>Decision: Since the P-value 0.00578 is less than alpha (0.05), we reject the Null Hypothesis (H_0).</t>
  </si>
  <si>
    <t>Decision: Since the F-statistic (3.297) is greater than the Critical F Value (2.221), we also reject the Null Hypothesis (H_0).</t>
  </si>
  <si>
    <t>Summary of Key Insights for Apollo Hospitals:</t>
  </si>
  <si>
    <r>
      <rPr>
        <b/>
        <sz val="11"/>
        <color theme="1"/>
        <rFont val="Calibri"/>
        <family val="2"/>
        <scheme val="minor"/>
      </rPr>
      <t>Smoker vs. Charges (T-Test):</t>
    </r>
    <r>
      <rPr>
        <sz val="11"/>
        <color theme="1"/>
        <rFont val="Calibri"/>
        <family val="2"/>
        <scheme val="minor"/>
      </rPr>
      <t xml:space="preserve"> Highly Significant (P approx 0). Smoking is the dominant predictor of high costs, with smokers costing approx 4 times more than non-smokers.</t>
    </r>
  </si>
  <si>
    <r>
      <rPr>
        <b/>
        <sz val="11"/>
        <color theme="1"/>
        <rFont val="Calibri"/>
        <family val="2"/>
        <scheme val="minor"/>
      </rPr>
      <t>Viral Load vs. Charges (Correlation):</t>
    </r>
    <r>
      <rPr>
        <sz val="11"/>
        <color theme="1"/>
        <rFont val="Calibri"/>
        <family val="2"/>
        <scheme val="minor"/>
      </rPr>
      <t xml:space="preserve"> Very Weak relationship (r approx 0.198). Viral Load is not a useful cost predictor on its own.</t>
    </r>
  </si>
  <si>
    <r>
      <rPr>
        <b/>
        <sz val="11"/>
        <color theme="1"/>
        <rFont val="Calibri"/>
        <family val="2"/>
        <scheme val="minor"/>
      </rPr>
      <t>Severity vs. Charges (ANOVA):</t>
    </r>
    <r>
      <rPr>
        <sz val="11"/>
        <color theme="1"/>
        <rFont val="Calibri"/>
        <family val="2"/>
        <scheme val="minor"/>
      </rPr>
      <t xml:space="preserve"> Significant (P approx 0.0058). Severity level as a group is a factor, but the pattern is non-linear (Severity 5 had the lowest average cost), suggesting confounding variables are at play.</t>
    </r>
  </si>
  <si>
    <r>
      <rPr>
        <b/>
        <sz val="11"/>
        <color theme="1"/>
        <rFont val="Calibri"/>
        <family val="2"/>
        <scheme val="minor"/>
      </rPr>
      <t>Region vs. Smoker (Chi-Square):</t>
    </r>
    <r>
      <rPr>
        <sz val="11"/>
        <color theme="1"/>
        <rFont val="Calibri"/>
        <family val="2"/>
        <scheme val="minor"/>
      </rPr>
      <t xml:space="preserve"> Not Statistically Significant at the 5% level (P approx 0.057). While the Southeast region had the highest count of smokers (91 observed vs. 74 expected), the difference is not strong enough to confidently say that smoking rates are dependent on the region.</t>
    </r>
  </si>
  <si>
    <t>PROJECT: DETERMINANTS OF HOSPITALIZATION CHARGES &amp; PATIENT PROFILES</t>
  </si>
  <si>
    <t>1. PROJECT OVERVIEW</t>
  </si>
  <si>
    <t>Objective:</t>
  </si>
  <si>
    <t>Scope:</t>
  </si>
  <si>
    <t>Methodology:</t>
  </si>
  <si>
    <t>To analyze 1,338 patient records to identify significant drivers of hospitalization charges and evaluate demographic patterns for Apollo Hospitals.</t>
  </si>
  <si>
    <t>Analysis of key variables including Smoking Status, Viral Load, Severity Level, and Region.</t>
  </si>
  <si>
    <t>Descriptive Statistics, Welch’s T-Test, Pearson Correlation, ANOVA Single Factor, and Chi-Square Test of Independence.</t>
  </si>
  <si>
    <t>2. KEY FINDINGS &amp; INSIGHTS</t>
  </si>
  <si>
    <t>A. The "Smoker" Effect (Financial Impact)</t>
  </si>
  <si>
    <r>
      <rPr>
        <b/>
        <sz val="11"/>
        <color theme="1"/>
        <rFont val="Calibri"/>
        <family val="2"/>
        <scheme val="minor"/>
      </rPr>
      <t>Insight:</t>
    </r>
    <r>
      <rPr>
        <sz val="11"/>
        <color theme="1"/>
        <rFont val="Calibri"/>
        <family val="2"/>
        <scheme val="minor"/>
      </rPr>
      <t xml:space="preserve"> Smoking is the single largest predictor of hospitalization costs.</t>
    </r>
  </si>
  <si>
    <r>
      <rPr>
        <b/>
        <sz val="11"/>
        <color theme="1"/>
        <rFont val="Calibri"/>
        <family val="2"/>
        <scheme val="minor"/>
      </rPr>
      <t>Data:</t>
    </r>
    <r>
      <rPr>
        <sz val="11"/>
        <color theme="1"/>
        <rFont val="Calibri"/>
        <family val="2"/>
        <scheme val="minor"/>
      </rPr>
      <t xml:space="preserve"> Smokers average $80,125 in charges vs. $21,085 for non-smokers.</t>
    </r>
  </si>
  <si>
    <r>
      <rPr>
        <b/>
        <sz val="11"/>
        <color theme="1"/>
        <rFont val="Calibri"/>
        <family val="2"/>
        <scheme val="minor"/>
      </rPr>
      <t>Statistical Evidence:</t>
    </r>
    <r>
      <rPr>
        <sz val="11"/>
        <color theme="1"/>
        <rFont val="Calibri"/>
        <family val="2"/>
        <scheme val="minor"/>
      </rPr>
      <t xml:space="preserve"> The difference is highly significant ($P \approx 0$, Welch’s T-Test).</t>
    </r>
  </si>
  <si>
    <r>
      <rPr>
        <b/>
        <sz val="11"/>
        <color theme="1"/>
        <rFont val="Calibri"/>
        <family val="2"/>
        <scheme val="minor"/>
      </rPr>
      <t>Business Implication:</t>
    </r>
    <r>
      <rPr>
        <sz val="11"/>
        <color theme="1"/>
        <rFont val="Calibri"/>
        <family val="2"/>
        <scheme val="minor"/>
      </rPr>
      <t xml:space="preserve"> Risk adjustment models and insurance premiums must weigh smoking status as the primary cost multiplier (~4x increase).</t>
    </r>
  </si>
  <si>
    <t>B. Viral Load &amp; Clinical Metrics</t>
  </si>
  <si>
    <r>
      <rPr>
        <b/>
        <sz val="11"/>
        <color theme="1"/>
        <rFont val="Calibri"/>
        <family val="2"/>
        <scheme val="minor"/>
      </rPr>
      <t>Insight:</t>
    </r>
    <r>
      <rPr>
        <sz val="11"/>
        <color theme="1"/>
        <rFont val="Calibri"/>
        <family val="2"/>
        <scheme val="minor"/>
      </rPr>
      <t xml:space="preserve"> Viral load is a weak predictor of financial cost.</t>
    </r>
  </si>
  <si>
    <r>
      <rPr>
        <b/>
        <sz val="11"/>
        <color theme="1"/>
        <rFont val="Calibri"/>
        <family val="2"/>
        <scheme val="minor"/>
      </rPr>
      <t>Data:</t>
    </r>
    <r>
      <rPr>
        <sz val="11"/>
        <color theme="1"/>
        <rFont val="Calibri"/>
        <family val="2"/>
        <scheme val="minor"/>
      </rPr>
      <t xml:space="preserve"> Pearson Correlation Coefficient ($r$) is 0.198.</t>
    </r>
  </si>
  <si>
    <r>
      <rPr>
        <b/>
        <sz val="11"/>
        <color theme="1"/>
        <rFont val="Calibri"/>
        <family val="2"/>
        <scheme val="minor"/>
      </rPr>
      <t>Business Implication:</t>
    </r>
    <r>
      <rPr>
        <sz val="11"/>
        <color theme="1"/>
        <rFont val="Calibri"/>
        <family val="2"/>
        <scheme val="minor"/>
      </rPr>
      <t xml:space="preserve"> High viral load does not automatically equate to high resource consumption or billing; operational planning should focus on other severity metrics.</t>
    </r>
  </si>
  <si>
    <t>C. Severity Level Trends</t>
  </si>
  <si>
    <r>
      <rPr>
        <b/>
        <sz val="11"/>
        <color theme="1"/>
        <rFont val="Calibri"/>
        <family val="2"/>
        <scheme val="minor"/>
      </rPr>
      <t>Insight:</t>
    </r>
    <r>
      <rPr>
        <sz val="11"/>
        <color theme="1"/>
        <rFont val="Calibri"/>
        <family val="2"/>
        <scheme val="minor"/>
      </rPr>
      <t xml:space="preserve"> Severity impacts costs, but the relationship is non-linear.</t>
    </r>
  </si>
  <si>
    <r>
      <rPr>
        <b/>
        <sz val="11"/>
        <color theme="1"/>
        <rFont val="Calibri"/>
        <family val="2"/>
        <scheme val="minor"/>
      </rPr>
      <t>Data:</t>
    </r>
    <r>
      <rPr>
        <sz val="11"/>
        <color theme="1"/>
        <rFont val="Calibri"/>
        <family val="2"/>
        <scheme val="minor"/>
      </rPr>
      <t xml:space="preserve"> Statistically significant difference found among groups (ANOVA, $P = 0.0058$). However, the highest severity levels (4 &amp; 5) showed lower average costs than mid-tier severity.</t>
    </r>
  </si>
  <si>
    <r>
      <rPr>
        <b/>
        <sz val="11"/>
        <color theme="1"/>
        <rFont val="Calibri"/>
        <family val="2"/>
        <scheme val="minor"/>
      </rPr>
      <t>Note:</t>
    </r>
    <r>
      <rPr>
        <sz val="11"/>
        <color theme="1"/>
        <rFont val="Calibri"/>
        <family val="2"/>
        <scheme val="minor"/>
      </rPr>
      <t xml:space="preserve"> This anomaly is likely due to low sample size in high-severity tiers (n=25 and n=18) and requires further data collection for validation.</t>
    </r>
  </si>
  <si>
    <t>D. Regional Demographics</t>
  </si>
  <si>
    <r>
      <rPr>
        <b/>
        <sz val="11"/>
        <color theme="1"/>
        <rFont val="Calibri"/>
        <family val="2"/>
        <scheme val="minor"/>
      </rPr>
      <t>Insight:</t>
    </r>
    <r>
      <rPr>
        <sz val="11"/>
        <color theme="1"/>
        <rFont val="Calibri"/>
        <family val="2"/>
        <scheme val="minor"/>
      </rPr>
      <t xml:space="preserve"> Smoking habits are relatively consistent across all four regions (SW, SE, NW, NE).</t>
    </r>
  </si>
  <si>
    <r>
      <rPr>
        <b/>
        <sz val="11"/>
        <color theme="1"/>
        <rFont val="Calibri"/>
        <family val="2"/>
        <scheme val="minor"/>
      </rPr>
      <t>Statistical Evidence:</t>
    </r>
    <r>
      <rPr>
        <sz val="11"/>
        <color theme="1"/>
        <rFont val="Calibri"/>
        <family val="2"/>
        <scheme val="minor"/>
      </rPr>
      <t xml:space="preserve"> Chi-Square test ($P = 0.057$) indicates no statistically significant dependence between Region and Smoking Status at the 5% level.</t>
    </r>
  </si>
  <si>
    <r>
      <rPr>
        <b/>
        <sz val="11"/>
        <color theme="1"/>
        <rFont val="Calibri"/>
        <family val="2"/>
        <scheme val="minor"/>
      </rPr>
      <t>Business Implication:</t>
    </r>
    <r>
      <rPr>
        <sz val="11"/>
        <color theme="1"/>
        <rFont val="Calibri"/>
        <family val="2"/>
        <scheme val="minor"/>
      </rPr>
      <t xml:space="preserve"> Regional-specific marketing or risk strategies regarding smoking may yield diminishing returns; a unified national strategy is recommended.</t>
    </r>
  </si>
  <si>
    <t>3. Recommendations</t>
  </si>
  <si>
    <t>https://platform.stratascratch.com/data-projects/hospitalization-hypothesis-testing</t>
  </si>
  <si>
    <t>Stratascratch Project: Hospitalization Hypothesis Testing</t>
  </si>
  <si>
    <t>This data project has been used as a take-home assignment in the recruitment process for the data science positions at Apollo Hospitals.</t>
  </si>
  <si>
    <t>Apollo Hospitals was established in 1983, renowned as the architect of modern healthcare in India. As the nation's first corporate hospital, Apollo Hospitals is acclaimed for pioneering the private healthcare revolution in the country.</t>
  </si>
  <si>
    <t>Assignment</t>
  </si>
  <si>
    <t>As a data scientist working at Apollo, the ultimate goal is to tease out meaningful and actionable insights from Patient-level collected data. You can help Apollo hospitals to be more efficient, influence diagnostic and treatment processes, and to map the spread of a pandemic.</t>
  </si>
  <si>
    <t>One of the best examples of data scientists making a meaningful difference at a global level is in the response to the COVID-19 pandemic, where they have improved information collection, provided ongoing and accurate estimates of infection spread and health system demand, and assessed the effectiveness of government policies.</t>
  </si>
  <si>
    <t>The company wants to know:</t>
  </si>
  <si>
    <t>Which variables are significant in predicting the reason for hospitalization for different regions;</t>
  </si>
  <si>
    <t>How well some variables like viral load, smoking, and severity level describe the hospitalization charges;</t>
  </si>
  <si>
    <t>Data Description</t>
  </si>
  <si>
    <t>The file apollo_data.csv contains anonymized data of COVID-19 hospital patients and contains the following variables:</t>
  </si>
  <si>
    <t>age - an integer indicating the age of the primary beneficiary (excluding those above 64 years, since they are generally covered by the government)</t>
  </si>
  <si>
    <t>sex - the policy holder's gender, either male or female</t>
  </si>
  <si>
    <t>smoker - 'yes' or 'no' depending on whether the insured regularly smokes tobacco</t>
  </si>
  <si>
    <t>region - beneficiary's place of residence in Delhi, divided into four geographic regions - northeast, southeast, southwest, or northwest</t>
  </si>
  <si>
    <t>viral load - the amount of virus in an infected person's blood</t>
  </si>
  <si>
    <t>severity level - an integer indicating how severe the patient is</t>
  </si>
  <si>
    <t>hospitalization charges - individual medical costs billed to health insurance</t>
  </si>
  <si>
    <t>Practicalities</t>
  </si>
  <si>
    <t>Analyze the provided data and provide insights to the best of your abilities. Use statistical tests to support your claims. Include the relevant tables/graphs/visualization to explain what you have learned. Make sure that the solution reflects your entire thought process including the preparation of data - it is more important how the code is structured rather than just the final result or plot.</t>
  </si>
  <si>
    <r>
      <rPr>
        <b/>
        <sz val="11"/>
        <color theme="1"/>
        <rFont val="Calibri"/>
        <family val="2"/>
        <scheme val="minor"/>
      </rPr>
      <t>Pricing Strategy:</t>
    </r>
    <r>
      <rPr>
        <sz val="11"/>
        <color theme="1"/>
        <rFont val="Calibri"/>
        <family val="2"/>
        <scheme val="minor"/>
      </rPr>
      <t xml:space="preserve"> Implement tiered pricing or higher premiums specifically for smokers given the 400% cost variance.</t>
    </r>
  </si>
  <si>
    <r>
      <rPr>
        <b/>
        <sz val="11"/>
        <color theme="1"/>
        <rFont val="Calibri"/>
        <family val="2"/>
        <scheme val="minor"/>
      </rPr>
      <t>Predictive Modeling:</t>
    </r>
    <r>
      <rPr>
        <sz val="11"/>
        <color theme="1"/>
        <rFont val="Calibri"/>
        <family val="2"/>
        <scheme val="minor"/>
      </rPr>
      <t xml:space="preserve"> Future machine learning models should prioritize Lifestyle (Smoking) and Demographics over Viral Load for cost prediction.</t>
    </r>
  </si>
  <si>
    <r>
      <rPr>
        <b/>
        <sz val="11"/>
        <color theme="1"/>
        <rFont val="Calibri"/>
        <family val="2"/>
        <scheme val="minor"/>
      </rPr>
      <t>Data Quality:</t>
    </r>
    <r>
      <rPr>
        <sz val="11"/>
        <color theme="1"/>
        <rFont val="Calibri"/>
        <family val="2"/>
        <scheme val="minor"/>
      </rPr>
      <t xml:space="preserve"> Increase data collection efforts for "Severity Level 4 &amp; 5" patients to correct potential sample bias in cost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</si>
</sst>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b/>
      <i/>
      <sz val="16"/>
      <color theme="1"/>
      <name val="Calibri"/>
      <family val="2"/>
      <scheme val="minor"/>
    </font>
    <font>
      <b/>
      <i/>
      <sz val="14"/>
      <color theme="1"/>
      <name val="Calibri"/>
      <family val="2"/>
      <scheme val="minor"/>
    </font>
    <font>
      <i/>
      <sz val="11"/>
      <color theme="1"/>
      <name val="Calibri"/>
      <family val="2"/>
      <scheme val="minor"/>
    </font>
    <font>
      <b/>
      <sz val="16"/>
      <color theme="1"/>
      <name val="Calibri"/>
      <family val="2"/>
      <scheme val="minor"/>
    </font>
    <font>
      <b/>
      <i/>
      <sz val="12"/>
      <color theme="1"/>
      <name val="Calibri"/>
      <family val="2"/>
      <scheme val="minor"/>
    </font>
    <font>
      <b/>
      <u/>
      <sz val="11"/>
      <color theme="1"/>
      <name val="Calibri"/>
      <family val="2"/>
      <scheme val="minor"/>
    </font>
    <font>
      <i/>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88">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3" fillId="0" borderId="0" xfId="0" applyFont="1"/>
    <xf numFmtId="164" fontId="0" fillId="0" borderId="11" xfId="0" applyNumberFormat="1" applyBorder="1" applyAlignment="1">
      <alignment horizontal="center"/>
    </xf>
    <xf numFmtId="164" fontId="0" fillId="0" borderId="5" xfId="0" applyNumberFormat="1" applyBorder="1" applyAlignment="1">
      <alignment horizontal="center"/>
    </xf>
    <xf numFmtId="164" fontId="0" fillId="0" borderId="8" xfId="0" applyNumberFormat="1" applyBorder="1" applyAlignment="1">
      <alignment horizontal="center"/>
    </xf>
    <xf numFmtId="0" fontId="4"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11" xfId="0" applyBorder="1"/>
    <xf numFmtId="0" fontId="0" fillId="0" borderId="15" xfId="0" applyBorder="1"/>
    <xf numFmtId="0" fontId="0" fillId="0" borderId="16" xfId="0" applyBorder="1" applyAlignment="1">
      <alignment horizontal="center"/>
    </xf>
    <xf numFmtId="0" fontId="0" fillId="0" borderId="3" xfId="0" applyBorder="1"/>
    <xf numFmtId="44" fontId="0" fillId="0" borderId="4" xfId="1" applyFont="1" applyBorder="1"/>
    <xf numFmtId="44" fontId="0" fillId="0" borderId="6" xfId="1" applyFont="1" applyBorder="1"/>
    <xf numFmtId="44" fontId="0" fillId="0" borderId="9" xfId="1" applyFont="1" applyBorder="1"/>
    <xf numFmtId="0" fontId="2" fillId="2" borderId="17" xfId="0" applyFont="1" applyFill="1" applyBorder="1" applyAlignment="1">
      <alignment horizontal="center"/>
    </xf>
    <xf numFmtId="0" fontId="2" fillId="2" borderId="18" xfId="0" applyFont="1" applyFill="1" applyBorder="1" applyAlignment="1">
      <alignment horizontal="center"/>
    </xf>
    <xf numFmtId="44" fontId="0" fillId="0" borderId="3" xfId="1" applyFont="1" applyBorder="1" applyAlignment="1">
      <alignment horizontal="center"/>
    </xf>
    <xf numFmtId="44" fontId="0" fillId="0" borderId="8" xfId="1" applyFont="1" applyBorder="1" applyAlignment="1">
      <alignment horizontal="center"/>
    </xf>
    <xf numFmtId="0" fontId="0" fillId="0" borderId="20" xfId="0" applyBorder="1"/>
    <xf numFmtId="0" fontId="5" fillId="0" borderId="21" xfId="0" applyFont="1" applyBorder="1" applyAlignment="1">
      <alignment horizontal="center"/>
    </xf>
    <xf numFmtId="0" fontId="5" fillId="0" borderId="22" xfId="0" applyFont="1" applyBorder="1" applyAlignment="1">
      <alignment horizontal="center"/>
    </xf>
    <xf numFmtId="0" fontId="5" fillId="0" borderId="23" xfId="0" applyFont="1" applyBorder="1" applyAlignment="1">
      <alignment horizontal="center"/>
    </xf>
    <xf numFmtId="0" fontId="0" fillId="0" borderId="24" xfId="0" applyBorder="1"/>
    <xf numFmtId="0" fontId="0" fillId="0" borderId="25" xfId="0" applyBorder="1"/>
    <xf numFmtId="0" fontId="0" fillId="0" borderId="26" xfId="0" applyBorder="1"/>
    <xf numFmtId="0" fontId="0" fillId="0" borderId="27" xfId="0" applyBorder="1"/>
    <xf numFmtId="0" fontId="0" fillId="0" borderId="7" xfId="0" applyBorder="1"/>
    <xf numFmtId="0" fontId="0" fillId="0" borderId="10" xfId="0" applyBorder="1"/>
    <xf numFmtId="0" fontId="0" fillId="2" borderId="12" xfId="0" applyFill="1" applyBorder="1"/>
    <xf numFmtId="0" fontId="0" fillId="2" borderId="13" xfId="0" applyFill="1" applyBorder="1"/>
    <xf numFmtId="0" fontId="0" fillId="2" borderId="14" xfId="0" applyFill="1" applyBorder="1"/>
    <xf numFmtId="0" fontId="0" fillId="3" borderId="0" xfId="0" applyFill="1"/>
    <xf numFmtId="0" fontId="0" fillId="2" borderId="30" xfId="0" applyFill="1" applyBorder="1"/>
    <xf numFmtId="0" fontId="0" fillId="2" borderId="31" xfId="0" applyFill="1" applyBorder="1"/>
    <xf numFmtId="0" fontId="0" fillId="2" borderId="15" xfId="0" applyFill="1" applyBorder="1"/>
    <xf numFmtId="0" fontId="2" fillId="2" borderId="12" xfId="0" applyFont="1" applyFill="1" applyBorder="1"/>
    <xf numFmtId="0" fontId="2" fillId="2" borderId="13" xfId="0" applyFont="1" applyFill="1" applyBorder="1"/>
    <xf numFmtId="0" fontId="2" fillId="2" borderId="14" xfId="0" applyFont="1" applyFill="1" applyBorder="1"/>
    <xf numFmtId="0" fontId="0" fillId="2" borderId="28" xfId="0" applyFill="1" applyBorder="1"/>
    <xf numFmtId="0" fontId="0" fillId="2" borderId="19" xfId="0" applyFill="1" applyBorder="1"/>
    <xf numFmtId="0" fontId="0" fillId="2" borderId="29" xfId="0" applyFill="1" applyBorder="1"/>
    <xf numFmtId="0" fontId="0" fillId="2" borderId="24" xfId="0" applyFill="1" applyBorder="1"/>
    <xf numFmtId="0" fontId="0" fillId="2" borderId="0" xfId="0" applyFill="1"/>
    <xf numFmtId="0" fontId="0" fillId="2" borderId="25" xfId="0" applyFill="1" applyBorder="1"/>
    <xf numFmtId="0" fontId="0" fillId="2" borderId="0" xfId="0" applyFill="1" applyAlignment="1">
      <alignment wrapText="1"/>
    </xf>
    <xf numFmtId="0" fontId="0" fillId="2" borderId="26" xfId="0" applyFill="1" applyBorder="1"/>
    <xf numFmtId="0" fontId="0" fillId="2" borderId="20" xfId="0" applyFill="1" applyBorder="1"/>
    <xf numFmtId="0" fontId="0" fillId="2" borderId="27" xfId="0" applyFill="1" applyBorder="1"/>
    <xf numFmtId="0" fontId="2"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0" fillId="2" borderId="0" xfId="0" applyFill="1" applyAlignment="1">
      <alignment wrapText="1"/>
    </xf>
    <xf numFmtId="0" fontId="0" fillId="2" borderId="0" xfId="0" applyFill="1" applyAlignment="1">
      <alignment vertical="top" wrapText="1"/>
    </xf>
    <xf numFmtId="0" fontId="0" fillId="0" borderId="28" xfId="0" applyBorder="1" applyAlignment="1">
      <alignment vertical="center" wrapText="1"/>
    </xf>
    <xf numFmtId="0" fontId="0" fillId="0" borderId="19" xfId="0" applyBorder="1" applyAlignment="1">
      <alignment vertical="center" wrapText="1"/>
    </xf>
    <xf numFmtId="0" fontId="0" fillId="0" borderId="29" xfId="0" applyBorder="1" applyAlignment="1">
      <alignment vertical="center" wrapText="1"/>
    </xf>
    <xf numFmtId="0" fontId="0" fillId="0" borderId="24" xfId="0" applyBorder="1" applyAlignment="1">
      <alignment vertical="center" wrapText="1"/>
    </xf>
    <xf numFmtId="0" fontId="0" fillId="0" borderId="0" xfId="0"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20" xfId="0" applyBorder="1" applyAlignment="1">
      <alignment vertical="center" wrapText="1"/>
    </xf>
    <xf numFmtId="0" fontId="0" fillId="0" borderId="27" xfId="0" applyBorder="1" applyAlignment="1">
      <alignment vertical="center" wrapText="1"/>
    </xf>
    <xf numFmtId="0" fontId="0" fillId="0" borderId="28" xfId="0" applyBorder="1" applyAlignment="1">
      <alignment wrapText="1"/>
    </xf>
    <xf numFmtId="0" fontId="0" fillId="0" borderId="19" xfId="0" applyBorder="1" applyAlignment="1">
      <alignment wrapText="1"/>
    </xf>
    <xf numFmtId="0" fontId="0" fillId="0" borderId="29" xfId="0" applyBorder="1" applyAlignment="1">
      <alignment wrapText="1"/>
    </xf>
    <xf numFmtId="0" fontId="0" fillId="0" borderId="24" xfId="0" applyBorder="1" applyAlignment="1">
      <alignment wrapText="1"/>
    </xf>
    <xf numFmtId="0" fontId="0" fillId="0" borderId="0" xfId="0" applyAlignment="1">
      <alignment wrapText="1"/>
    </xf>
    <xf numFmtId="0" fontId="0" fillId="0" borderId="25" xfId="0" applyBorder="1" applyAlignment="1">
      <alignment wrapText="1"/>
    </xf>
    <xf numFmtId="0" fontId="0" fillId="0" borderId="26" xfId="0" applyBorder="1" applyAlignment="1">
      <alignment wrapText="1"/>
    </xf>
    <xf numFmtId="0" fontId="0" fillId="0" borderId="20" xfId="0" applyBorder="1" applyAlignment="1">
      <alignment wrapText="1"/>
    </xf>
    <xf numFmtId="0" fontId="0" fillId="0" borderId="27" xfId="0"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96A4-877C-4226-BA16-C22EEA67A709}">
  <dimension ref="B1:V35"/>
  <sheetViews>
    <sheetView showGridLines="0" showRowColHeaders="0" tabSelected="1" zoomScale="120" zoomScaleNormal="120" workbookViewId="0"/>
  </sheetViews>
  <sheetFormatPr defaultRowHeight="15" x14ac:dyDescent="0.25"/>
  <cols>
    <col min="1" max="5" width="4.7109375" customWidth="1"/>
  </cols>
  <sheetData>
    <row r="1" spans="2:22" ht="15.75" thickBot="1" x14ac:dyDescent="0.3"/>
    <row r="2" spans="2:22" x14ac:dyDescent="0.25">
      <c r="B2" s="53"/>
      <c r="C2" s="54"/>
      <c r="D2" s="54"/>
      <c r="E2" s="54"/>
      <c r="F2" s="54"/>
      <c r="G2" s="54"/>
      <c r="H2" s="54"/>
      <c r="I2" s="54"/>
      <c r="J2" s="54"/>
      <c r="K2" s="54"/>
      <c r="L2" s="54"/>
      <c r="M2" s="54"/>
      <c r="N2" s="54"/>
      <c r="O2" s="54"/>
      <c r="P2" s="54"/>
      <c r="Q2" s="54"/>
      <c r="R2" s="54"/>
      <c r="S2" s="54"/>
      <c r="T2" s="55"/>
    </row>
    <row r="3" spans="2:22" ht="21" x14ac:dyDescent="0.35">
      <c r="B3" s="56"/>
      <c r="C3" s="64" t="s">
        <v>144</v>
      </c>
      <c r="D3" s="57"/>
      <c r="E3" s="57"/>
      <c r="F3" s="57"/>
      <c r="G3" s="57"/>
      <c r="H3" s="57"/>
      <c r="I3" s="57"/>
      <c r="J3" s="57"/>
      <c r="K3" s="57"/>
      <c r="L3" s="57"/>
      <c r="M3" s="57"/>
      <c r="N3" s="57"/>
      <c r="O3" s="57"/>
      <c r="P3" s="57"/>
      <c r="Q3" s="57"/>
      <c r="R3" s="57"/>
      <c r="S3" s="57"/>
      <c r="T3" s="58"/>
      <c r="V3" t="s">
        <v>143</v>
      </c>
    </row>
    <row r="4" spans="2:22" x14ac:dyDescent="0.25">
      <c r="B4" s="56"/>
      <c r="C4" s="57"/>
      <c r="D4" s="57"/>
      <c r="E4" s="57"/>
      <c r="F4" s="57"/>
      <c r="G4" s="57"/>
      <c r="H4" s="57"/>
      <c r="I4" s="57"/>
      <c r="J4" s="57"/>
      <c r="K4" s="57"/>
      <c r="L4" s="57"/>
      <c r="M4" s="57"/>
      <c r="N4" s="57"/>
      <c r="O4" s="57"/>
      <c r="P4" s="57"/>
      <c r="Q4" s="57"/>
      <c r="R4" s="57"/>
      <c r="S4" s="57"/>
      <c r="T4" s="58"/>
    </row>
    <row r="5" spans="2:22" ht="15.75" x14ac:dyDescent="0.25">
      <c r="B5" s="56"/>
      <c r="C5" s="57"/>
      <c r="D5" s="67" t="s">
        <v>145</v>
      </c>
      <c r="E5" s="57"/>
      <c r="F5" s="57"/>
      <c r="G5" s="57"/>
      <c r="H5" s="57"/>
      <c r="I5" s="57"/>
      <c r="J5" s="57"/>
      <c r="K5" s="57"/>
      <c r="L5" s="57"/>
      <c r="M5" s="57"/>
      <c r="N5" s="57"/>
      <c r="O5" s="57"/>
      <c r="P5" s="57"/>
      <c r="Q5" s="57"/>
      <c r="R5" s="57"/>
      <c r="S5" s="57"/>
      <c r="T5" s="58"/>
    </row>
    <row r="6" spans="2:22" x14ac:dyDescent="0.25">
      <c r="B6" s="56"/>
      <c r="C6" s="57"/>
      <c r="D6" s="68" t="s">
        <v>146</v>
      </c>
      <c r="E6" s="68"/>
      <c r="F6" s="68"/>
      <c r="G6" s="68"/>
      <c r="H6" s="68"/>
      <c r="I6" s="68"/>
      <c r="J6" s="68"/>
      <c r="K6" s="68"/>
      <c r="L6" s="68"/>
      <c r="M6" s="68"/>
      <c r="N6" s="68"/>
      <c r="O6" s="68"/>
      <c r="P6" s="68"/>
      <c r="Q6" s="68"/>
      <c r="R6" s="68"/>
      <c r="S6" s="68"/>
      <c r="T6" s="58"/>
    </row>
    <row r="7" spans="2:22" x14ac:dyDescent="0.25">
      <c r="B7" s="56"/>
      <c r="C7" s="57"/>
      <c r="D7" s="68"/>
      <c r="E7" s="68"/>
      <c r="F7" s="68"/>
      <c r="G7" s="68"/>
      <c r="H7" s="68"/>
      <c r="I7" s="68"/>
      <c r="J7" s="68"/>
      <c r="K7" s="68"/>
      <c r="L7" s="68"/>
      <c r="M7" s="68"/>
      <c r="N7" s="68"/>
      <c r="O7" s="68"/>
      <c r="P7" s="68"/>
      <c r="Q7" s="68"/>
      <c r="R7" s="68"/>
      <c r="S7" s="68"/>
      <c r="T7" s="58"/>
    </row>
    <row r="8" spans="2:22" x14ac:dyDescent="0.25">
      <c r="B8" s="56"/>
      <c r="C8" s="57"/>
      <c r="D8" s="57"/>
      <c r="E8" s="57"/>
      <c r="F8" s="59"/>
      <c r="G8" s="59"/>
      <c r="H8" s="59"/>
      <c r="I8" s="59"/>
      <c r="J8" s="59"/>
      <c r="K8" s="59"/>
      <c r="L8" s="59"/>
      <c r="M8" s="59"/>
      <c r="N8" s="59"/>
      <c r="O8" s="59"/>
      <c r="P8" s="57"/>
      <c r="Q8" s="57"/>
      <c r="R8" s="57"/>
      <c r="S8" s="57"/>
      <c r="T8" s="58"/>
    </row>
    <row r="9" spans="2:22" x14ac:dyDescent="0.25">
      <c r="B9" s="56"/>
      <c r="C9" s="57"/>
      <c r="D9" s="63" t="s">
        <v>147</v>
      </c>
      <c r="E9" s="57"/>
      <c r="F9" s="57"/>
      <c r="G9" s="57"/>
      <c r="H9" s="57"/>
      <c r="I9" s="57"/>
      <c r="J9" s="57"/>
      <c r="K9" s="57"/>
      <c r="L9" s="57"/>
      <c r="M9" s="57"/>
      <c r="N9" s="57"/>
      <c r="O9" s="57"/>
      <c r="P9" s="57"/>
      <c r="Q9" s="57"/>
      <c r="R9" s="57"/>
      <c r="S9" s="57"/>
      <c r="T9" s="58"/>
    </row>
    <row r="10" spans="2:22" x14ac:dyDescent="0.25">
      <c r="B10" s="56"/>
      <c r="C10" s="57"/>
      <c r="D10" s="57"/>
      <c r="E10" s="68" t="s">
        <v>148</v>
      </c>
      <c r="F10" s="68"/>
      <c r="G10" s="68"/>
      <c r="H10" s="68"/>
      <c r="I10" s="68"/>
      <c r="J10" s="68"/>
      <c r="K10" s="68"/>
      <c r="L10" s="68"/>
      <c r="M10" s="68"/>
      <c r="N10" s="68"/>
      <c r="O10" s="68"/>
      <c r="P10" s="68"/>
      <c r="Q10" s="68"/>
      <c r="R10" s="68"/>
      <c r="S10" s="68"/>
      <c r="T10" s="58"/>
    </row>
    <row r="11" spans="2:22" x14ac:dyDescent="0.25">
      <c r="B11" s="56"/>
      <c r="C11" s="57"/>
      <c r="D11" s="57"/>
      <c r="E11" s="68"/>
      <c r="F11" s="68"/>
      <c r="G11" s="68"/>
      <c r="H11" s="68"/>
      <c r="I11" s="68"/>
      <c r="J11" s="68"/>
      <c r="K11" s="68"/>
      <c r="L11" s="68"/>
      <c r="M11" s="68"/>
      <c r="N11" s="68"/>
      <c r="O11" s="68"/>
      <c r="P11" s="68"/>
      <c r="Q11" s="68"/>
      <c r="R11" s="68"/>
      <c r="S11" s="68"/>
      <c r="T11" s="58"/>
    </row>
    <row r="12" spans="2:22" x14ac:dyDescent="0.25">
      <c r="B12" s="56"/>
      <c r="C12" s="57"/>
      <c r="D12" s="57"/>
      <c r="E12" s="68" t="s">
        <v>149</v>
      </c>
      <c r="F12" s="68"/>
      <c r="G12" s="68"/>
      <c r="H12" s="68"/>
      <c r="I12" s="68"/>
      <c r="J12" s="68"/>
      <c r="K12" s="68"/>
      <c r="L12" s="68"/>
      <c r="M12" s="68"/>
      <c r="N12" s="68"/>
      <c r="O12" s="68"/>
      <c r="P12" s="68"/>
      <c r="Q12" s="68"/>
      <c r="R12" s="68"/>
      <c r="S12" s="68"/>
      <c r="T12" s="58"/>
    </row>
    <row r="13" spans="2:22" x14ac:dyDescent="0.25">
      <c r="B13" s="56"/>
      <c r="C13" s="57"/>
      <c r="D13" s="57"/>
      <c r="E13" s="68"/>
      <c r="F13" s="68"/>
      <c r="G13" s="68"/>
      <c r="H13" s="68"/>
      <c r="I13" s="68"/>
      <c r="J13" s="68"/>
      <c r="K13" s="68"/>
      <c r="L13" s="68"/>
      <c r="M13" s="68"/>
      <c r="N13" s="68"/>
      <c r="O13" s="68"/>
      <c r="P13" s="68"/>
      <c r="Q13" s="68"/>
      <c r="R13" s="68"/>
      <c r="S13" s="68"/>
      <c r="T13" s="58"/>
    </row>
    <row r="14" spans="2:22" x14ac:dyDescent="0.25">
      <c r="B14" s="56"/>
      <c r="C14" s="57"/>
      <c r="D14" s="57"/>
      <c r="E14" s="68"/>
      <c r="F14" s="68"/>
      <c r="G14" s="68"/>
      <c r="H14" s="68"/>
      <c r="I14" s="68"/>
      <c r="J14" s="68"/>
      <c r="K14" s="68"/>
      <c r="L14" s="68"/>
      <c r="M14" s="68"/>
      <c r="N14" s="68"/>
      <c r="O14" s="68"/>
      <c r="P14" s="68"/>
      <c r="Q14" s="68"/>
      <c r="R14" s="68"/>
      <c r="S14" s="68"/>
      <c r="T14" s="58"/>
    </row>
    <row r="15" spans="2:22" x14ac:dyDescent="0.25">
      <c r="B15" s="56"/>
      <c r="C15" s="57"/>
      <c r="D15" s="57"/>
      <c r="E15" s="59"/>
      <c r="F15" s="59"/>
      <c r="G15" s="59"/>
      <c r="H15" s="59"/>
      <c r="I15" s="59"/>
      <c r="J15" s="59"/>
      <c r="K15" s="59"/>
      <c r="L15" s="59"/>
      <c r="M15" s="59"/>
      <c r="N15" s="59"/>
      <c r="O15" s="59"/>
      <c r="P15" s="59"/>
      <c r="Q15" s="59"/>
      <c r="R15" s="59"/>
      <c r="S15" s="59"/>
      <c r="T15" s="58"/>
    </row>
    <row r="16" spans="2:22" x14ac:dyDescent="0.25">
      <c r="B16" s="56"/>
      <c r="C16" s="57"/>
      <c r="D16" s="63" t="s">
        <v>150</v>
      </c>
      <c r="E16" s="57"/>
      <c r="F16" s="59"/>
      <c r="G16" s="59"/>
      <c r="H16" s="59"/>
      <c r="I16" s="59"/>
      <c r="J16" s="59"/>
      <c r="K16" s="59"/>
      <c r="L16" s="59"/>
      <c r="M16" s="59"/>
      <c r="N16" s="59"/>
      <c r="O16" s="59"/>
      <c r="P16" s="57"/>
      <c r="Q16" s="57"/>
      <c r="R16" s="57"/>
      <c r="S16" s="57"/>
      <c r="T16" s="58"/>
    </row>
    <row r="17" spans="2:20" x14ac:dyDescent="0.25">
      <c r="B17" s="56"/>
      <c r="C17" s="57"/>
      <c r="D17" s="57"/>
      <c r="E17" s="57" t="s">
        <v>151</v>
      </c>
      <c r="F17" s="57"/>
      <c r="G17" s="57"/>
      <c r="H17" s="57"/>
      <c r="I17" s="57"/>
      <c r="J17" s="57"/>
      <c r="K17" s="57"/>
      <c r="L17" s="57"/>
      <c r="M17" s="57"/>
      <c r="N17" s="57"/>
      <c r="O17" s="57"/>
      <c r="P17" s="57"/>
      <c r="Q17" s="57"/>
      <c r="R17" s="57"/>
      <c r="S17" s="57"/>
      <c r="T17" s="58"/>
    </row>
    <row r="18" spans="2:20" ht="15.75" x14ac:dyDescent="0.25">
      <c r="B18" s="56"/>
      <c r="C18" s="57"/>
      <c r="D18" s="65"/>
      <c r="E18" s="57" t="s">
        <v>152</v>
      </c>
      <c r="F18" s="57"/>
      <c r="G18" s="57"/>
      <c r="H18" s="57"/>
      <c r="I18" s="57"/>
      <c r="J18" s="57"/>
      <c r="K18" s="57"/>
      <c r="L18" s="57"/>
      <c r="M18" s="57"/>
      <c r="N18" s="57"/>
      <c r="O18" s="57"/>
      <c r="P18" s="57"/>
      <c r="Q18" s="57"/>
      <c r="R18" s="57"/>
      <c r="S18" s="57"/>
      <c r="T18" s="58"/>
    </row>
    <row r="19" spans="2:20" ht="15.75" x14ac:dyDescent="0.25">
      <c r="B19" s="56"/>
      <c r="C19" s="57"/>
      <c r="D19" s="65"/>
      <c r="E19" s="57"/>
      <c r="F19" s="57"/>
      <c r="G19" s="57"/>
      <c r="H19" s="57"/>
      <c r="I19" s="57"/>
      <c r="J19" s="57"/>
      <c r="K19" s="57"/>
      <c r="L19" s="57"/>
      <c r="M19" s="57"/>
      <c r="N19" s="57"/>
      <c r="O19" s="57"/>
      <c r="P19" s="57"/>
      <c r="Q19" s="57"/>
      <c r="R19" s="57"/>
      <c r="S19" s="57"/>
      <c r="T19" s="58"/>
    </row>
    <row r="20" spans="2:20" x14ac:dyDescent="0.25">
      <c r="B20" s="56"/>
      <c r="C20" s="57"/>
      <c r="D20" s="63" t="s">
        <v>153</v>
      </c>
      <c r="E20" s="57"/>
      <c r="F20" s="57"/>
      <c r="G20" s="57"/>
      <c r="H20" s="57"/>
      <c r="I20" s="57"/>
      <c r="J20" s="57"/>
      <c r="K20" s="57"/>
      <c r="L20" s="57"/>
      <c r="M20" s="57"/>
      <c r="N20" s="57"/>
      <c r="O20" s="57"/>
      <c r="P20" s="57"/>
      <c r="Q20" s="57"/>
      <c r="R20" s="57"/>
      <c r="S20" s="57"/>
      <c r="T20" s="58"/>
    </row>
    <row r="21" spans="2:20" x14ac:dyDescent="0.25">
      <c r="B21" s="56"/>
      <c r="C21" s="57"/>
      <c r="D21" s="57"/>
      <c r="E21" s="57" t="s">
        <v>154</v>
      </c>
      <c r="F21" s="59"/>
      <c r="G21" s="59"/>
      <c r="H21" s="59"/>
      <c r="I21" s="59"/>
      <c r="J21" s="59"/>
      <c r="K21" s="59"/>
      <c r="L21" s="59"/>
      <c r="M21" s="59"/>
      <c r="N21" s="59"/>
      <c r="O21" s="59"/>
      <c r="P21" s="57"/>
      <c r="Q21" s="57"/>
      <c r="R21" s="57"/>
      <c r="S21" s="57"/>
      <c r="T21" s="58"/>
    </row>
    <row r="22" spans="2:20" x14ac:dyDescent="0.25">
      <c r="B22" s="56"/>
      <c r="C22" s="57"/>
      <c r="D22" s="57"/>
      <c r="E22" s="57" t="s">
        <v>155</v>
      </c>
      <c r="F22" s="57"/>
      <c r="G22" s="57"/>
      <c r="H22" s="57"/>
      <c r="I22" s="57"/>
      <c r="J22" s="57"/>
      <c r="K22" s="57"/>
      <c r="L22" s="57"/>
      <c r="M22" s="57"/>
      <c r="N22" s="57"/>
      <c r="O22" s="57"/>
      <c r="P22" s="57"/>
      <c r="Q22" s="57"/>
      <c r="R22" s="57"/>
      <c r="S22" s="57"/>
      <c r="T22" s="58"/>
    </row>
    <row r="23" spans="2:20" x14ac:dyDescent="0.25">
      <c r="B23" s="56"/>
      <c r="C23" s="57"/>
      <c r="D23" s="57"/>
      <c r="E23" s="57" t="s">
        <v>156</v>
      </c>
      <c r="F23" s="57"/>
      <c r="G23" s="57"/>
      <c r="H23" s="57"/>
      <c r="I23" s="57"/>
      <c r="J23" s="57"/>
      <c r="K23" s="57"/>
      <c r="L23" s="57"/>
      <c r="M23" s="57"/>
      <c r="N23" s="57"/>
      <c r="O23" s="57"/>
      <c r="P23" s="57"/>
      <c r="Q23" s="57"/>
      <c r="R23" s="57"/>
      <c r="S23" s="57"/>
      <c r="T23" s="58"/>
    </row>
    <row r="24" spans="2:20" x14ac:dyDescent="0.25">
      <c r="B24" s="56"/>
      <c r="C24" s="57"/>
      <c r="D24" s="57"/>
      <c r="E24" s="57" t="s">
        <v>157</v>
      </c>
      <c r="F24" s="57"/>
      <c r="G24" s="57"/>
      <c r="H24" s="57"/>
      <c r="I24" s="57"/>
      <c r="J24" s="57"/>
      <c r="K24" s="57"/>
      <c r="L24" s="57"/>
      <c r="M24" s="57"/>
      <c r="N24" s="57"/>
      <c r="O24" s="57"/>
      <c r="P24" s="57"/>
      <c r="Q24" s="57"/>
      <c r="R24" s="57"/>
      <c r="S24" s="57"/>
      <c r="T24" s="58"/>
    </row>
    <row r="25" spans="2:20" x14ac:dyDescent="0.25">
      <c r="B25" s="56"/>
      <c r="C25" s="57"/>
      <c r="D25" s="57"/>
      <c r="E25" s="57" t="s">
        <v>158</v>
      </c>
      <c r="F25" s="59"/>
      <c r="G25" s="59"/>
      <c r="H25" s="59"/>
      <c r="I25" s="59"/>
      <c r="J25" s="59"/>
      <c r="K25" s="59"/>
      <c r="L25" s="59"/>
      <c r="M25" s="59"/>
      <c r="N25" s="59"/>
      <c r="O25" s="59"/>
      <c r="P25" s="57"/>
      <c r="Q25" s="57"/>
      <c r="R25" s="57"/>
      <c r="S25" s="57"/>
      <c r="T25" s="58"/>
    </row>
    <row r="26" spans="2:20" x14ac:dyDescent="0.25">
      <c r="B26" s="56"/>
      <c r="C26" s="57"/>
      <c r="D26" s="57"/>
      <c r="E26" s="57" t="s">
        <v>159</v>
      </c>
      <c r="F26" s="59"/>
      <c r="G26" s="59"/>
      <c r="H26" s="59"/>
      <c r="I26" s="59"/>
      <c r="J26" s="59"/>
      <c r="K26" s="59"/>
      <c r="L26" s="59"/>
      <c r="M26" s="59"/>
      <c r="N26" s="59"/>
      <c r="O26" s="59"/>
      <c r="P26" s="57"/>
      <c r="Q26" s="57"/>
      <c r="R26" s="57"/>
      <c r="S26" s="57"/>
      <c r="T26" s="58"/>
    </row>
    <row r="27" spans="2:20" x14ac:dyDescent="0.25">
      <c r="B27" s="56"/>
      <c r="C27" s="57"/>
      <c r="D27" s="57"/>
      <c r="E27" s="57" t="s">
        <v>160</v>
      </c>
      <c r="F27" s="57"/>
      <c r="G27" s="57"/>
      <c r="H27" s="57"/>
      <c r="I27" s="57"/>
      <c r="J27" s="57"/>
      <c r="K27" s="57"/>
      <c r="L27" s="57"/>
      <c r="M27" s="57"/>
      <c r="N27" s="57"/>
      <c r="O27" s="57"/>
      <c r="P27" s="57"/>
      <c r="Q27" s="57"/>
      <c r="R27" s="57"/>
      <c r="S27" s="57"/>
      <c r="T27" s="58"/>
    </row>
    <row r="28" spans="2:20" x14ac:dyDescent="0.25">
      <c r="B28" s="56"/>
      <c r="C28" s="57"/>
      <c r="D28" s="57"/>
      <c r="E28" s="57" t="s">
        <v>161</v>
      </c>
      <c r="F28" s="57"/>
      <c r="G28" s="57"/>
      <c r="H28" s="57"/>
      <c r="I28" s="57"/>
      <c r="J28" s="57"/>
      <c r="K28" s="57"/>
      <c r="L28" s="57"/>
      <c r="M28" s="57"/>
      <c r="N28" s="57"/>
      <c r="O28" s="57"/>
      <c r="P28" s="57"/>
      <c r="Q28" s="57"/>
      <c r="R28" s="57"/>
      <c r="S28" s="57"/>
      <c r="T28" s="58"/>
    </row>
    <row r="29" spans="2:20" x14ac:dyDescent="0.25">
      <c r="B29" s="56"/>
      <c r="C29" s="57"/>
      <c r="D29" s="57"/>
      <c r="E29" s="57"/>
      <c r="F29" s="59"/>
      <c r="G29" s="59"/>
      <c r="H29" s="59"/>
      <c r="I29" s="59"/>
      <c r="J29" s="59"/>
      <c r="K29" s="59"/>
      <c r="L29" s="59"/>
      <c r="M29" s="59"/>
      <c r="N29" s="59"/>
      <c r="O29" s="59"/>
      <c r="P29" s="57"/>
      <c r="Q29" s="57"/>
      <c r="R29" s="57"/>
      <c r="S29" s="57"/>
      <c r="T29" s="58"/>
    </row>
    <row r="30" spans="2:20" x14ac:dyDescent="0.25">
      <c r="B30" s="56"/>
      <c r="C30" s="57"/>
      <c r="D30" s="63" t="s">
        <v>162</v>
      </c>
      <c r="E30" s="57"/>
      <c r="F30" s="59"/>
      <c r="G30" s="59"/>
      <c r="H30" s="59"/>
      <c r="I30" s="59"/>
      <c r="J30" s="59"/>
      <c r="K30" s="59"/>
      <c r="L30" s="59"/>
      <c r="M30" s="59"/>
      <c r="N30" s="59"/>
      <c r="O30" s="59"/>
      <c r="P30" s="57"/>
      <c r="Q30" s="57"/>
      <c r="R30" s="57"/>
      <c r="S30" s="57"/>
      <c r="T30" s="58"/>
    </row>
    <row r="31" spans="2:20" x14ac:dyDescent="0.25">
      <c r="B31" s="56"/>
      <c r="C31" s="57"/>
      <c r="D31" s="57"/>
      <c r="E31" s="68" t="s">
        <v>163</v>
      </c>
      <c r="F31" s="68"/>
      <c r="G31" s="68"/>
      <c r="H31" s="68"/>
      <c r="I31" s="68"/>
      <c r="J31" s="68"/>
      <c r="K31" s="68"/>
      <c r="L31" s="68"/>
      <c r="M31" s="68"/>
      <c r="N31" s="68"/>
      <c r="O31" s="68"/>
      <c r="P31" s="68"/>
      <c r="Q31" s="68"/>
      <c r="R31" s="68"/>
      <c r="S31" s="68"/>
      <c r="T31" s="58"/>
    </row>
    <row r="32" spans="2:20" x14ac:dyDescent="0.25">
      <c r="B32" s="56"/>
      <c r="C32" s="57"/>
      <c r="D32" s="57"/>
      <c r="E32" s="68"/>
      <c r="F32" s="68"/>
      <c r="G32" s="68"/>
      <c r="H32" s="68"/>
      <c r="I32" s="68"/>
      <c r="J32" s="68"/>
      <c r="K32" s="68"/>
      <c r="L32" s="68"/>
      <c r="M32" s="68"/>
      <c r="N32" s="68"/>
      <c r="O32" s="68"/>
      <c r="P32" s="68"/>
      <c r="Q32" s="68"/>
      <c r="R32" s="68"/>
      <c r="S32" s="68"/>
      <c r="T32" s="58"/>
    </row>
    <row r="33" spans="2:20" x14ac:dyDescent="0.25">
      <c r="B33" s="56"/>
      <c r="C33" s="57"/>
      <c r="D33" s="57"/>
      <c r="E33" s="68"/>
      <c r="F33" s="68"/>
      <c r="G33" s="68"/>
      <c r="H33" s="68"/>
      <c r="I33" s="68"/>
      <c r="J33" s="68"/>
      <c r="K33" s="68"/>
      <c r="L33" s="68"/>
      <c r="M33" s="68"/>
      <c r="N33" s="68"/>
      <c r="O33" s="68"/>
      <c r="P33" s="68"/>
      <c r="Q33" s="68"/>
      <c r="R33" s="68"/>
      <c r="S33" s="68"/>
      <c r="T33" s="58"/>
    </row>
    <row r="34" spans="2:20" x14ac:dyDescent="0.25">
      <c r="B34" s="56"/>
      <c r="C34" s="57"/>
      <c r="D34" s="57"/>
      <c r="E34" s="57"/>
      <c r="F34" s="57"/>
      <c r="G34" s="57"/>
      <c r="H34" s="57"/>
      <c r="I34" s="57"/>
      <c r="J34" s="57"/>
      <c r="K34" s="57"/>
      <c r="L34" s="57"/>
      <c r="M34" s="57"/>
      <c r="N34" s="57"/>
      <c r="O34" s="57"/>
      <c r="P34" s="57"/>
      <c r="Q34" s="57"/>
      <c r="R34" s="57"/>
      <c r="S34" s="57"/>
      <c r="T34" s="58"/>
    </row>
    <row r="35" spans="2:20" ht="15.75" thickBot="1" x14ac:dyDescent="0.3">
      <c r="B35" s="60"/>
      <c r="C35" s="61"/>
      <c r="D35" s="61"/>
      <c r="E35" s="61"/>
      <c r="F35" s="61"/>
      <c r="G35" s="61"/>
      <c r="H35" s="61"/>
      <c r="I35" s="61"/>
      <c r="J35" s="61"/>
      <c r="K35" s="61"/>
      <c r="L35" s="61"/>
      <c r="M35" s="61"/>
      <c r="N35" s="61"/>
      <c r="O35" s="61"/>
      <c r="P35" s="61"/>
      <c r="Q35" s="61"/>
      <c r="R35" s="61"/>
      <c r="S35" s="61"/>
      <c r="T35" s="62"/>
    </row>
  </sheetData>
  <mergeCells count="4">
    <mergeCell ref="E12:S14"/>
    <mergeCell ref="E31:S33"/>
    <mergeCell ref="D6:S7"/>
    <mergeCell ref="E10:S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4190-A52C-40E4-9FC9-81C0F93CBFC8}">
  <dimension ref="B1:T52"/>
  <sheetViews>
    <sheetView showGridLines="0" showRowColHeaders="0" zoomScale="120" zoomScaleNormal="120" workbookViewId="0"/>
  </sheetViews>
  <sheetFormatPr defaultRowHeight="15" x14ac:dyDescent="0.25"/>
  <cols>
    <col min="1" max="5" width="4.7109375" customWidth="1"/>
  </cols>
  <sheetData>
    <row r="1" spans="2:20" ht="15.75" thickBot="1" x14ac:dyDescent="0.3"/>
    <row r="2" spans="2:20" x14ac:dyDescent="0.25">
      <c r="B2" s="53"/>
      <c r="C2" s="54"/>
      <c r="D2" s="54"/>
      <c r="E2" s="54"/>
      <c r="F2" s="54"/>
      <c r="G2" s="54"/>
      <c r="H2" s="54"/>
      <c r="I2" s="54"/>
      <c r="J2" s="54"/>
      <c r="K2" s="54"/>
      <c r="L2" s="54"/>
      <c r="M2" s="54"/>
      <c r="N2" s="54"/>
      <c r="O2" s="54"/>
      <c r="P2" s="54"/>
      <c r="Q2" s="54"/>
      <c r="R2" s="55"/>
    </row>
    <row r="3" spans="2:20" ht="21" x14ac:dyDescent="0.35">
      <c r="B3" s="56"/>
      <c r="C3" s="64" t="s">
        <v>116</v>
      </c>
      <c r="D3" s="57"/>
      <c r="E3" s="57"/>
      <c r="F3" s="57"/>
      <c r="G3" s="57"/>
      <c r="H3" s="57"/>
      <c r="I3" s="57"/>
      <c r="J3" s="57"/>
      <c r="K3" s="57"/>
      <c r="L3" s="57"/>
      <c r="M3" s="57"/>
      <c r="N3" s="57"/>
      <c r="O3" s="57"/>
      <c r="P3" s="57"/>
      <c r="Q3" s="57"/>
      <c r="R3" s="58"/>
      <c r="T3" t="s">
        <v>143</v>
      </c>
    </row>
    <row r="4" spans="2:20" x14ac:dyDescent="0.25">
      <c r="B4" s="56"/>
      <c r="C4" s="57"/>
      <c r="D4" s="57"/>
      <c r="E4" s="57"/>
      <c r="F4" s="57"/>
      <c r="G4" s="57"/>
      <c r="H4" s="57"/>
      <c r="I4" s="57"/>
      <c r="J4" s="57"/>
      <c r="K4" s="57"/>
      <c r="L4" s="57"/>
      <c r="M4" s="57"/>
      <c r="N4" s="57"/>
      <c r="O4" s="57"/>
      <c r="P4" s="57"/>
      <c r="Q4" s="57"/>
      <c r="R4" s="58"/>
    </row>
    <row r="5" spans="2:20" ht="15.75" x14ac:dyDescent="0.25">
      <c r="B5" s="56"/>
      <c r="C5" s="57"/>
      <c r="D5" s="65" t="s">
        <v>117</v>
      </c>
      <c r="E5" s="57"/>
      <c r="F5" s="57"/>
      <c r="G5" s="57"/>
      <c r="H5" s="57"/>
      <c r="I5" s="57"/>
      <c r="J5" s="57"/>
      <c r="K5" s="57"/>
      <c r="L5" s="57"/>
      <c r="M5" s="57"/>
      <c r="N5" s="57"/>
      <c r="O5" s="57"/>
      <c r="P5" s="57"/>
      <c r="Q5" s="57"/>
      <c r="R5" s="58"/>
    </row>
    <row r="6" spans="2:20" x14ac:dyDescent="0.25">
      <c r="B6" s="56"/>
      <c r="C6" s="57"/>
      <c r="D6" s="57"/>
      <c r="E6" s="66" t="s">
        <v>118</v>
      </c>
      <c r="F6" s="57"/>
      <c r="G6" s="57"/>
      <c r="H6" s="57"/>
      <c r="I6" s="57"/>
      <c r="J6" s="57"/>
      <c r="K6" s="57"/>
      <c r="L6" s="57"/>
      <c r="M6" s="57"/>
      <c r="N6" s="57"/>
      <c r="O6" s="57"/>
      <c r="P6" s="57"/>
      <c r="Q6" s="57"/>
      <c r="R6" s="58"/>
    </row>
    <row r="7" spans="2:20" x14ac:dyDescent="0.25">
      <c r="B7" s="56"/>
      <c r="C7" s="57"/>
      <c r="D7" s="57"/>
      <c r="E7" s="57"/>
      <c r="F7" s="68" t="s">
        <v>121</v>
      </c>
      <c r="G7" s="68"/>
      <c r="H7" s="68"/>
      <c r="I7" s="68"/>
      <c r="J7" s="68"/>
      <c r="K7" s="68"/>
      <c r="L7" s="68"/>
      <c r="M7" s="68"/>
      <c r="N7" s="68"/>
      <c r="O7" s="68"/>
      <c r="P7" s="57"/>
      <c r="Q7" s="57"/>
      <c r="R7" s="58"/>
    </row>
    <row r="8" spans="2:20" x14ac:dyDescent="0.25">
      <c r="B8" s="56"/>
      <c r="C8" s="57"/>
      <c r="D8" s="57"/>
      <c r="E8" s="57"/>
      <c r="F8" s="68"/>
      <c r="G8" s="68"/>
      <c r="H8" s="68"/>
      <c r="I8" s="68"/>
      <c r="J8" s="68"/>
      <c r="K8" s="68"/>
      <c r="L8" s="68"/>
      <c r="M8" s="68"/>
      <c r="N8" s="68"/>
      <c r="O8" s="68"/>
      <c r="P8" s="57"/>
      <c r="Q8" s="57"/>
      <c r="R8" s="58"/>
    </row>
    <row r="9" spans="2:20" x14ac:dyDescent="0.25">
      <c r="B9" s="56"/>
      <c r="C9" s="57"/>
      <c r="D9" s="57"/>
      <c r="E9" s="57"/>
      <c r="F9" s="57"/>
      <c r="G9" s="57"/>
      <c r="H9" s="57"/>
      <c r="I9" s="57"/>
      <c r="J9" s="57"/>
      <c r="K9" s="57"/>
      <c r="L9" s="57"/>
      <c r="M9" s="57"/>
      <c r="N9" s="57"/>
      <c r="O9" s="57"/>
      <c r="P9" s="57"/>
      <c r="Q9" s="57"/>
      <c r="R9" s="58"/>
    </row>
    <row r="10" spans="2:20" x14ac:dyDescent="0.25">
      <c r="B10" s="56"/>
      <c r="C10" s="57"/>
      <c r="D10" s="57"/>
      <c r="E10" s="66" t="s">
        <v>119</v>
      </c>
      <c r="F10" s="57"/>
      <c r="G10" s="57"/>
      <c r="H10" s="57"/>
      <c r="I10" s="57"/>
      <c r="J10" s="57"/>
      <c r="K10" s="57"/>
      <c r="L10" s="57"/>
      <c r="M10" s="57"/>
      <c r="N10" s="57"/>
      <c r="O10" s="57"/>
      <c r="P10" s="57"/>
      <c r="Q10" s="57"/>
      <c r="R10" s="58"/>
    </row>
    <row r="11" spans="2:20" x14ac:dyDescent="0.25">
      <c r="B11" s="56"/>
      <c r="C11" s="57"/>
      <c r="D11" s="57"/>
      <c r="E11" s="57"/>
      <c r="F11" s="69" t="s">
        <v>122</v>
      </c>
      <c r="G11" s="69"/>
      <c r="H11" s="69"/>
      <c r="I11" s="69"/>
      <c r="J11" s="69"/>
      <c r="K11" s="69"/>
      <c r="L11" s="69"/>
      <c r="M11" s="69"/>
      <c r="N11" s="69"/>
      <c r="O11" s="69"/>
      <c r="P11" s="57"/>
      <c r="Q11" s="57"/>
      <c r="R11" s="58"/>
    </row>
    <row r="12" spans="2:20" x14ac:dyDescent="0.25">
      <c r="B12" s="56"/>
      <c r="C12" s="57"/>
      <c r="D12" s="57"/>
      <c r="E12" s="57"/>
      <c r="F12" s="69"/>
      <c r="G12" s="69"/>
      <c r="H12" s="69"/>
      <c r="I12" s="69"/>
      <c r="J12" s="69"/>
      <c r="K12" s="69"/>
      <c r="L12" s="69"/>
      <c r="M12" s="69"/>
      <c r="N12" s="69"/>
      <c r="O12" s="69"/>
      <c r="P12" s="57"/>
      <c r="Q12" s="57"/>
      <c r="R12" s="58"/>
    </row>
    <row r="13" spans="2:20" x14ac:dyDescent="0.25">
      <c r="B13" s="56"/>
      <c r="C13" s="57"/>
      <c r="D13" s="57"/>
      <c r="E13" s="66" t="s">
        <v>120</v>
      </c>
      <c r="F13" s="57"/>
      <c r="G13" s="57"/>
      <c r="H13" s="57"/>
      <c r="I13" s="57"/>
      <c r="J13" s="57"/>
      <c r="K13" s="57"/>
      <c r="L13" s="57"/>
      <c r="M13" s="57"/>
      <c r="N13" s="57"/>
      <c r="O13" s="57"/>
      <c r="P13" s="57"/>
      <c r="Q13" s="57"/>
      <c r="R13" s="58"/>
    </row>
    <row r="14" spans="2:20" x14ac:dyDescent="0.25">
      <c r="B14" s="56"/>
      <c r="C14" s="57"/>
      <c r="D14" s="57"/>
      <c r="E14" s="57"/>
      <c r="F14" s="68" t="s">
        <v>123</v>
      </c>
      <c r="G14" s="68"/>
      <c r="H14" s="68"/>
      <c r="I14" s="68"/>
      <c r="J14" s="68"/>
      <c r="K14" s="68"/>
      <c r="L14" s="68"/>
      <c r="M14" s="68"/>
      <c r="N14" s="68"/>
      <c r="O14" s="68"/>
      <c r="P14" s="57"/>
      <c r="Q14" s="57"/>
      <c r="R14" s="58"/>
    </row>
    <row r="15" spans="2:20" x14ac:dyDescent="0.25">
      <c r="B15" s="56"/>
      <c r="C15" s="57"/>
      <c r="D15" s="57"/>
      <c r="E15" s="57"/>
      <c r="F15" s="68"/>
      <c r="G15" s="68"/>
      <c r="H15" s="68"/>
      <c r="I15" s="68"/>
      <c r="J15" s="68"/>
      <c r="K15" s="68"/>
      <c r="L15" s="68"/>
      <c r="M15" s="68"/>
      <c r="N15" s="68"/>
      <c r="O15" s="68"/>
      <c r="P15" s="57"/>
      <c r="Q15" s="57"/>
      <c r="R15" s="58"/>
    </row>
    <row r="16" spans="2:20" x14ac:dyDescent="0.25">
      <c r="B16" s="56"/>
      <c r="C16" s="57"/>
      <c r="D16" s="57"/>
      <c r="E16" s="57"/>
      <c r="F16" s="57"/>
      <c r="G16" s="57"/>
      <c r="H16" s="57"/>
      <c r="I16" s="57"/>
      <c r="J16" s="57"/>
      <c r="K16" s="57"/>
      <c r="L16" s="57"/>
      <c r="M16" s="57"/>
      <c r="N16" s="57"/>
      <c r="O16" s="57"/>
      <c r="P16" s="57"/>
      <c r="Q16" s="57"/>
      <c r="R16" s="58"/>
    </row>
    <row r="17" spans="2:18" ht="15.75" x14ac:dyDescent="0.25">
      <c r="B17" s="56"/>
      <c r="C17" s="57"/>
      <c r="D17" s="65" t="s">
        <v>124</v>
      </c>
      <c r="E17" s="57"/>
      <c r="F17" s="57"/>
      <c r="G17" s="57"/>
      <c r="H17" s="57"/>
      <c r="I17" s="57"/>
      <c r="J17" s="57"/>
      <c r="K17" s="57"/>
      <c r="L17" s="57"/>
      <c r="M17" s="57"/>
      <c r="N17" s="57"/>
      <c r="O17" s="57"/>
      <c r="P17" s="57"/>
      <c r="Q17" s="57"/>
      <c r="R17" s="58"/>
    </row>
    <row r="18" spans="2:18" x14ac:dyDescent="0.25">
      <c r="B18" s="56"/>
      <c r="C18" s="57"/>
      <c r="D18" s="57"/>
      <c r="E18" s="66" t="s">
        <v>125</v>
      </c>
      <c r="F18" s="57"/>
      <c r="G18" s="57"/>
      <c r="H18" s="57"/>
      <c r="I18" s="57"/>
      <c r="J18" s="57"/>
      <c r="K18" s="57"/>
      <c r="L18" s="57"/>
      <c r="M18" s="57"/>
      <c r="N18" s="57"/>
      <c r="O18" s="57"/>
      <c r="P18" s="57"/>
      <c r="Q18" s="57"/>
      <c r="R18" s="58"/>
    </row>
    <row r="19" spans="2:18" x14ac:dyDescent="0.25">
      <c r="B19" s="56"/>
      <c r="C19" s="57"/>
      <c r="D19" s="57"/>
      <c r="E19" s="57"/>
      <c r="F19" s="57" t="s">
        <v>126</v>
      </c>
      <c r="G19" s="57"/>
      <c r="H19" s="57"/>
      <c r="I19" s="57"/>
      <c r="J19" s="57"/>
      <c r="K19" s="57"/>
      <c r="L19" s="57"/>
      <c r="M19" s="57"/>
      <c r="N19" s="57"/>
      <c r="O19" s="57"/>
      <c r="P19" s="57"/>
      <c r="Q19" s="57"/>
      <c r="R19" s="58"/>
    </row>
    <row r="20" spans="2:18" x14ac:dyDescent="0.25">
      <c r="B20" s="56"/>
      <c r="C20" s="57"/>
      <c r="D20" s="57"/>
      <c r="E20" s="57"/>
      <c r="F20" s="57" t="s">
        <v>127</v>
      </c>
      <c r="G20" s="57"/>
      <c r="H20" s="57"/>
      <c r="I20" s="57"/>
      <c r="J20" s="57"/>
      <c r="K20" s="57"/>
      <c r="L20" s="57"/>
      <c r="M20" s="57"/>
      <c r="N20" s="57"/>
      <c r="O20" s="57"/>
      <c r="P20" s="57"/>
      <c r="Q20" s="57"/>
      <c r="R20" s="58"/>
    </row>
    <row r="21" spans="2:18" x14ac:dyDescent="0.25">
      <c r="B21" s="56"/>
      <c r="C21" s="57"/>
      <c r="D21" s="57"/>
      <c r="E21" s="57"/>
      <c r="F21" s="57" t="s">
        <v>128</v>
      </c>
      <c r="G21" s="57"/>
      <c r="H21" s="57"/>
      <c r="I21" s="57"/>
      <c r="J21" s="57"/>
      <c r="K21" s="57"/>
      <c r="L21" s="57"/>
      <c r="M21" s="57"/>
      <c r="N21" s="57"/>
      <c r="O21" s="57"/>
      <c r="P21" s="57"/>
      <c r="Q21" s="57"/>
      <c r="R21" s="58"/>
    </row>
    <row r="22" spans="2:18" x14ac:dyDescent="0.25">
      <c r="B22" s="56"/>
      <c r="C22" s="57"/>
      <c r="D22" s="57"/>
      <c r="E22" s="57"/>
      <c r="F22" s="68" t="s">
        <v>129</v>
      </c>
      <c r="G22" s="68"/>
      <c r="H22" s="68"/>
      <c r="I22" s="68"/>
      <c r="J22" s="68"/>
      <c r="K22" s="68"/>
      <c r="L22" s="68"/>
      <c r="M22" s="68"/>
      <c r="N22" s="68"/>
      <c r="O22" s="68"/>
      <c r="P22" s="57"/>
      <c r="Q22" s="57"/>
      <c r="R22" s="58"/>
    </row>
    <row r="23" spans="2:18" x14ac:dyDescent="0.25">
      <c r="B23" s="56"/>
      <c r="C23" s="57"/>
      <c r="D23" s="57"/>
      <c r="E23" s="57"/>
      <c r="F23" s="68"/>
      <c r="G23" s="68"/>
      <c r="H23" s="68"/>
      <c r="I23" s="68"/>
      <c r="J23" s="68"/>
      <c r="K23" s="68"/>
      <c r="L23" s="68"/>
      <c r="M23" s="68"/>
      <c r="N23" s="68"/>
      <c r="O23" s="68"/>
      <c r="P23" s="57"/>
      <c r="Q23" s="57"/>
      <c r="R23" s="58"/>
    </row>
    <row r="24" spans="2:18" x14ac:dyDescent="0.25">
      <c r="B24" s="56"/>
      <c r="C24" s="57"/>
      <c r="D24" s="57"/>
      <c r="E24" s="57"/>
      <c r="F24" s="57"/>
      <c r="G24" s="57"/>
      <c r="H24" s="57"/>
      <c r="I24" s="57"/>
      <c r="J24" s="57"/>
      <c r="K24" s="57"/>
      <c r="L24" s="57"/>
      <c r="M24" s="57"/>
      <c r="N24" s="57"/>
      <c r="O24" s="57"/>
      <c r="P24" s="57"/>
      <c r="Q24" s="57"/>
      <c r="R24" s="58"/>
    </row>
    <row r="25" spans="2:18" x14ac:dyDescent="0.25">
      <c r="B25" s="56"/>
      <c r="C25" s="57"/>
      <c r="D25" s="57"/>
      <c r="E25" s="66" t="s">
        <v>130</v>
      </c>
      <c r="F25" s="57"/>
      <c r="G25" s="57"/>
      <c r="H25" s="57"/>
      <c r="I25" s="57"/>
      <c r="J25" s="57"/>
      <c r="K25" s="57"/>
      <c r="L25" s="57"/>
      <c r="M25" s="57"/>
      <c r="N25" s="57"/>
      <c r="O25" s="57"/>
      <c r="P25" s="57"/>
      <c r="Q25" s="57"/>
      <c r="R25" s="58"/>
    </row>
    <row r="26" spans="2:18" x14ac:dyDescent="0.25">
      <c r="B26" s="56"/>
      <c r="C26" s="57"/>
      <c r="D26" s="57"/>
      <c r="E26" s="57"/>
      <c r="F26" s="57" t="s">
        <v>131</v>
      </c>
      <c r="G26" s="57"/>
      <c r="H26" s="57"/>
      <c r="I26" s="57"/>
      <c r="J26" s="57"/>
      <c r="K26" s="57"/>
      <c r="L26" s="57"/>
      <c r="M26" s="57"/>
      <c r="N26" s="57"/>
      <c r="O26" s="57"/>
      <c r="P26" s="57"/>
      <c r="Q26" s="57"/>
      <c r="R26" s="58"/>
    </row>
    <row r="27" spans="2:18" x14ac:dyDescent="0.25">
      <c r="B27" s="56"/>
      <c r="C27" s="57"/>
      <c r="D27" s="57"/>
      <c r="E27" s="57"/>
      <c r="F27" s="57" t="s">
        <v>132</v>
      </c>
      <c r="G27" s="57"/>
      <c r="H27" s="57"/>
      <c r="I27" s="57"/>
      <c r="J27" s="57"/>
      <c r="K27" s="57"/>
      <c r="L27" s="57"/>
      <c r="M27" s="57"/>
      <c r="N27" s="57"/>
      <c r="O27" s="57"/>
      <c r="P27" s="57"/>
      <c r="Q27" s="57"/>
      <c r="R27" s="58"/>
    </row>
    <row r="28" spans="2:18" x14ac:dyDescent="0.25">
      <c r="B28" s="56"/>
      <c r="C28" s="57"/>
      <c r="D28" s="57"/>
      <c r="E28" s="57"/>
      <c r="F28" s="68" t="s">
        <v>133</v>
      </c>
      <c r="G28" s="68"/>
      <c r="H28" s="68"/>
      <c r="I28" s="68"/>
      <c r="J28" s="68"/>
      <c r="K28" s="68"/>
      <c r="L28" s="68"/>
      <c r="M28" s="68"/>
      <c r="N28" s="68"/>
      <c r="O28" s="68"/>
      <c r="P28" s="57"/>
      <c r="Q28" s="57"/>
      <c r="R28" s="58"/>
    </row>
    <row r="29" spans="2:18" x14ac:dyDescent="0.25">
      <c r="B29" s="56"/>
      <c r="C29" s="57"/>
      <c r="D29" s="57"/>
      <c r="E29" s="57"/>
      <c r="F29" s="68"/>
      <c r="G29" s="68"/>
      <c r="H29" s="68"/>
      <c r="I29" s="68"/>
      <c r="J29" s="68"/>
      <c r="K29" s="68"/>
      <c r="L29" s="68"/>
      <c r="M29" s="68"/>
      <c r="N29" s="68"/>
      <c r="O29" s="68"/>
      <c r="P29" s="57"/>
      <c r="Q29" s="57"/>
      <c r="R29" s="58"/>
    </row>
    <row r="30" spans="2:18" x14ac:dyDescent="0.25">
      <c r="B30" s="56"/>
      <c r="C30" s="57"/>
      <c r="D30" s="57"/>
      <c r="E30" s="57"/>
      <c r="F30" s="57"/>
      <c r="G30" s="57"/>
      <c r="H30" s="57"/>
      <c r="I30" s="57"/>
      <c r="J30" s="57"/>
      <c r="K30" s="57"/>
      <c r="L30" s="57"/>
      <c r="M30" s="57"/>
      <c r="N30" s="57"/>
      <c r="O30" s="57"/>
      <c r="P30" s="57"/>
      <c r="Q30" s="57"/>
      <c r="R30" s="58"/>
    </row>
    <row r="31" spans="2:18" x14ac:dyDescent="0.25">
      <c r="B31" s="56"/>
      <c r="C31" s="57"/>
      <c r="D31" s="57"/>
      <c r="E31" s="66" t="s">
        <v>134</v>
      </c>
      <c r="F31" s="57"/>
      <c r="G31" s="57"/>
      <c r="H31" s="57"/>
      <c r="I31" s="57"/>
      <c r="J31" s="57"/>
      <c r="K31" s="57"/>
      <c r="L31" s="57"/>
      <c r="M31" s="57"/>
      <c r="N31" s="57"/>
      <c r="O31" s="57"/>
      <c r="P31" s="57"/>
      <c r="Q31" s="57"/>
      <c r="R31" s="58"/>
    </row>
    <row r="32" spans="2:18" x14ac:dyDescent="0.25">
      <c r="B32" s="56"/>
      <c r="C32" s="57"/>
      <c r="D32" s="57"/>
      <c r="E32" s="57"/>
      <c r="F32" s="57" t="s">
        <v>135</v>
      </c>
      <c r="G32" s="57"/>
      <c r="H32" s="57"/>
      <c r="I32" s="57"/>
      <c r="J32" s="57"/>
      <c r="K32" s="57"/>
      <c r="L32" s="57"/>
      <c r="M32" s="57"/>
      <c r="N32" s="57"/>
      <c r="O32" s="57"/>
      <c r="P32" s="57"/>
      <c r="Q32" s="57"/>
      <c r="R32" s="58"/>
    </row>
    <row r="33" spans="2:18" x14ac:dyDescent="0.25">
      <c r="B33" s="56"/>
      <c r="C33" s="57"/>
      <c r="D33" s="57"/>
      <c r="E33" s="57"/>
      <c r="F33" s="68" t="s">
        <v>136</v>
      </c>
      <c r="G33" s="68"/>
      <c r="H33" s="68"/>
      <c r="I33" s="68"/>
      <c r="J33" s="68"/>
      <c r="K33" s="68"/>
      <c r="L33" s="68"/>
      <c r="M33" s="68"/>
      <c r="N33" s="68"/>
      <c r="O33" s="68"/>
      <c r="P33" s="57"/>
      <c r="Q33" s="57"/>
      <c r="R33" s="58"/>
    </row>
    <row r="34" spans="2:18" x14ac:dyDescent="0.25">
      <c r="B34" s="56"/>
      <c r="C34" s="57"/>
      <c r="D34" s="57"/>
      <c r="E34" s="57"/>
      <c r="F34" s="68"/>
      <c r="G34" s="68"/>
      <c r="H34" s="68"/>
      <c r="I34" s="68"/>
      <c r="J34" s="68"/>
      <c r="K34" s="68"/>
      <c r="L34" s="68"/>
      <c r="M34" s="68"/>
      <c r="N34" s="68"/>
      <c r="O34" s="68"/>
      <c r="P34" s="57"/>
      <c r="Q34" s="57"/>
      <c r="R34" s="58"/>
    </row>
    <row r="35" spans="2:18" x14ac:dyDescent="0.25">
      <c r="B35" s="56"/>
      <c r="C35" s="57"/>
      <c r="D35" s="57"/>
      <c r="E35" s="57"/>
      <c r="F35" s="68" t="s">
        <v>137</v>
      </c>
      <c r="G35" s="68"/>
      <c r="H35" s="68"/>
      <c r="I35" s="68"/>
      <c r="J35" s="68"/>
      <c r="K35" s="68"/>
      <c r="L35" s="68"/>
      <c r="M35" s="68"/>
      <c r="N35" s="68"/>
      <c r="O35" s="68"/>
      <c r="P35" s="57"/>
      <c r="Q35" s="57"/>
      <c r="R35" s="58"/>
    </row>
    <row r="36" spans="2:18" x14ac:dyDescent="0.25">
      <c r="B36" s="56"/>
      <c r="C36" s="57"/>
      <c r="D36" s="57"/>
      <c r="E36" s="57"/>
      <c r="F36" s="68"/>
      <c r="G36" s="68"/>
      <c r="H36" s="68"/>
      <c r="I36" s="68"/>
      <c r="J36" s="68"/>
      <c r="K36" s="68"/>
      <c r="L36" s="68"/>
      <c r="M36" s="68"/>
      <c r="N36" s="68"/>
      <c r="O36" s="68"/>
      <c r="P36" s="57"/>
      <c r="Q36" s="57"/>
      <c r="R36" s="58"/>
    </row>
    <row r="37" spans="2:18" x14ac:dyDescent="0.25">
      <c r="B37" s="56"/>
      <c r="C37" s="57"/>
      <c r="D37" s="57"/>
      <c r="E37" s="57"/>
      <c r="F37" s="57"/>
      <c r="G37" s="57"/>
      <c r="H37" s="57"/>
      <c r="I37" s="57"/>
      <c r="J37" s="57"/>
      <c r="K37" s="57"/>
      <c r="L37" s="57"/>
      <c r="M37" s="57"/>
      <c r="N37" s="57"/>
      <c r="O37" s="57"/>
      <c r="P37" s="57"/>
      <c r="Q37" s="57"/>
      <c r="R37" s="58"/>
    </row>
    <row r="38" spans="2:18" x14ac:dyDescent="0.25">
      <c r="B38" s="56"/>
      <c r="C38" s="57"/>
      <c r="D38" s="57"/>
      <c r="E38" s="66" t="s">
        <v>138</v>
      </c>
      <c r="F38" s="57"/>
      <c r="G38" s="57"/>
      <c r="H38" s="57"/>
      <c r="I38" s="57"/>
      <c r="J38" s="57"/>
      <c r="K38" s="57"/>
      <c r="L38" s="57"/>
      <c r="M38" s="57"/>
      <c r="N38" s="57"/>
      <c r="O38" s="57"/>
      <c r="P38" s="57"/>
      <c r="Q38" s="57"/>
      <c r="R38" s="58"/>
    </row>
    <row r="39" spans="2:18" x14ac:dyDescent="0.25">
      <c r="B39" s="56"/>
      <c r="C39" s="57"/>
      <c r="D39" s="57"/>
      <c r="E39" s="57"/>
      <c r="F39" s="57" t="s">
        <v>139</v>
      </c>
      <c r="G39" s="57"/>
      <c r="H39" s="57"/>
      <c r="I39" s="57"/>
      <c r="J39" s="57"/>
      <c r="K39" s="57"/>
      <c r="L39" s="57"/>
      <c r="M39" s="57"/>
      <c r="N39" s="57"/>
      <c r="O39" s="57"/>
      <c r="P39" s="57"/>
      <c r="Q39" s="57"/>
      <c r="R39" s="58"/>
    </row>
    <row r="40" spans="2:18" x14ac:dyDescent="0.25">
      <c r="B40" s="56"/>
      <c r="C40" s="57"/>
      <c r="D40" s="57"/>
      <c r="E40" s="57"/>
      <c r="F40" s="68" t="s">
        <v>140</v>
      </c>
      <c r="G40" s="68"/>
      <c r="H40" s="68"/>
      <c r="I40" s="68"/>
      <c r="J40" s="68"/>
      <c r="K40" s="68"/>
      <c r="L40" s="68"/>
      <c r="M40" s="68"/>
      <c r="N40" s="68"/>
      <c r="O40" s="68"/>
      <c r="P40" s="57"/>
      <c r="Q40" s="57"/>
      <c r="R40" s="58"/>
    </row>
    <row r="41" spans="2:18" x14ac:dyDescent="0.25">
      <c r="B41" s="56"/>
      <c r="C41" s="57"/>
      <c r="D41" s="57"/>
      <c r="E41" s="57"/>
      <c r="F41" s="68"/>
      <c r="G41" s="68"/>
      <c r="H41" s="68"/>
      <c r="I41" s="68"/>
      <c r="J41" s="68"/>
      <c r="K41" s="68"/>
      <c r="L41" s="68"/>
      <c r="M41" s="68"/>
      <c r="N41" s="68"/>
      <c r="O41" s="68"/>
      <c r="P41" s="57"/>
      <c r="Q41" s="57"/>
      <c r="R41" s="58"/>
    </row>
    <row r="42" spans="2:18" x14ac:dyDescent="0.25">
      <c r="B42" s="56"/>
      <c r="C42" s="57"/>
      <c r="D42" s="57"/>
      <c r="E42" s="57"/>
      <c r="F42" s="68" t="s">
        <v>141</v>
      </c>
      <c r="G42" s="68"/>
      <c r="H42" s="68"/>
      <c r="I42" s="68"/>
      <c r="J42" s="68"/>
      <c r="K42" s="68"/>
      <c r="L42" s="68"/>
      <c r="M42" s="68"/>
      <c r="N42" s="68"/>
      <c r="O42" s="68"/>
      <c r="P42" s="57"/>
      <c r="Q42" s="57"/>
      <c r="R42" s="58"/>
    </row>
    <row r="43" spans="2:18" x14ac:dyDescent="0.25">
      <c r="B43" s="56"/>
      <c r="C43" s="57"/>
      <c r="D43" s="57"/>
      <c r="E43" s="57"/>
      <c r="F43" s="68"/>
      <c r="G43" s="68"/>
      <c r="H43" s="68"/>
      <c r="I43" s="68"/>
      <c r="J43" s="68"/>
      <c r="K43" s="68"/>
      <c r="L43" s="68"/>
      <c r="M43" s="68"/>
      <c r="N43" s="68"/>
      <c r="O43" s="68"/>
      <c r="P43" s="57"/>
      <c r="Q43" s="57"/>
      <c r="R43" s="58"/>
    </row>
    <row r="44" spans="2:18" x14ac:dyDescent="0.25">
      <c r="B44" s="56"/>
      <c r="C44" s="57"/>
      <c r="D44" s="57"/>
      <c r="E44" s="57"/>
      <c r="F44" s="59"/>
      <c r="G44" s="59"/>
      <c r="H44" s="59"/>
      <c r="I44" s="59"/>
      <c r="J44" s="59"/>
      <c r="K44" s="59"/>
      <c r="L44" s="59"/>
      <c r="M44" s="59"/>
      <c r="N44" s="59"/>
      <c r="O44" s="57"/>
      <c r="P44" s="57"/>
      <c r="Q44" s="57"/>
      <c r="R44" s="58"/>
    </row>
    <row r="45" spans="2:18" ht="15.75" x14ac:dyDescent="0.25">
      <c r="B45" s="56"/>
      <c r="C45" s="57"/>
      <c r="D45" s="65" t="s">
        <v>142</v>
      </c>
      <c r="E45" s="57"/>
      <c r="F45" s="59"/>
      <c r="G45" s="59"/>
      <c r="H45" s="59"/>
      <c r="I45" s="59"/>
      <c r="J45" s="59"/>
      <c r="K45" s="59"/>
      <c r="L45" s="59"/>
      <c r="M45" s="59"/>
      <c r="N45" s="59"/>
      <c r="O45" s="57"/>
      <c r="P45" s="57"/>
      <c r="Q45" s="57"/>
      <c r="R45" s="58"/>
    </row>
    <row r="46" spans="2:18" x14ac:dyDescent="0.25">
      <c r="B46" s="56"/>
      <c r="C46" s="57"/>
      <c r="D46" s="57"/>
      <c r="E46" s="68" t="s">
        <v>164</v>
      </c>
      <c r="F46" s="68"/>
      <c r="G46" s="68"/>
      <c r="H46" s="68"/>
      <c r="I46" s="68"/>
      <c r="J46" s="68"/>
      <c r="K46" s="68"/>
      <c r="L46" s="68"/>
      <c r="M46" s="68"/>
      <c r="N46" s="68"/>
      <c r="O46" s="68"/>
      <c r="P46" s="57"/>
      <c r="Q46" s="57"/>
      <c r="R46" s="58"/>
    </row>
    <row r="47" spans="2:18" x14ac:dyDescent="0.25">
      <c r="B47" s="56"/>
      <c r="C47" s="57"/>
      <c r="D47" s="57"/>
      <c r="E47" s="68"/>
      <c r="F47" s="68"/>
      <c r="G47" s="68"/>
      <c r="H47" s="68"/>
      <c r="I47" s="68"/>
      <c r="J47" s="68"/>
      <c r="K47" s="68"/>
      <c r="L47" s="68"/>
      <c r="M47" s="68"/>
      <c r="N47" s="68"/>
      <c r="O47" s="68"/>
      <c r="P47" s="57"/>
      <c r="Q47" s="57"/>
      <c r="R47" s="58"/>
    </row>
    <row r="48" spans="2:18" x14ac:dyDescent="0.25">
      <c r="B48" s="56"/>
      <c r="C48" s="57"/>
      <c r="D48" s="57"/>
      <c r="E48" s="68" t="s">
        <v>165</v>
      </c>
      <c r="F48" s="68"/>
      <c r="G48" s="68"/>
      <c r="H48" s="68"/>
      <c r="I48" s="68"/>
      <c r="J48" s="68"/>
      <c r="K48" s="68"/>
      <c r="L48" s="68"/>
      <c r="M48" s="68"/>
      <c r="N48" s="68"/>
      <c r="O48" s="68"/>
      <c r="P48" s="57"/>
      <c r="Q48" s="57"/>
      <c r="R48" s="58"/>
    </row>
    <row r="49" spans="2:18" x14ac:dyDescent="0.25">
      <c r="B49" s="56"/>
      <c r="C49" s="57"/>
      <c r="D49" s="57"/>
      <c r="E49" s="68"/>
      <c r="F49" s="68"/>
      <c r="G49" s="68"/>
      <c r="H49" s="68"/>
      <c r="I49" s="68"/>
      <c r="J49" s="68"/>
      <c r="K49" s="68"/>
      <c r="L49" s="68"/>
      <c r="M49" s="68"/>
      <c r="N49" s="68"/>
      <c r="O49" s="68"/>
      <c r="P49" s="57"/>
      <c r="Q49" s="57"/>
      <c r="R49" s="58"/>
    </row>
    <row r="50" spans="2:18" x14ac:dyDescent="0.25">
      <c r="B50" s="56"/>
      <c r="C50" s="57"/>
      <c r="D50" s="57"/>
      <c r="E50" s="68" t="s">
        <v>166</v>
      </c>
      <c r="F50" s="68"/>
      <c r="G50" s="68"/>
      <c r="H50" s="68"/>
      <c r="I50" s="68"/>
      <c r="J50" s="68"/>
      <c r="K50" s="68"/>
      <c r="L50" s="68"/>
      <c r="M50" s="68"/>
      <c r="N50" s="68"/>
      <c r="O50" s="68"/>
      <c r="P50" s="57"/>
      <c r="Q50" s="57"/>
      <c r="R50" s="58"/>
    </row>
    <row r="51" spans="2:18" x14ac:dyDescent="0.25">
      <c r="B51" s="56"/>
      <c r="C51" s="57"/>
      <c r="D51" s="57"/>
      <c r="E51" s="68"/>
      <c r="F51" s="68"/>
      <c r="G51" s="68"/>
      <c r="H51" s="68"/>
      <c r="I51" s="68"/>
      <c r="J51" s="68"/>
      <c r="K51" s="68"/>
      <c r="L51" s="68"/>
      <c r="M51" s="68"/>
      <c r="N51" s="68"/>
      <c r="O51" s="68"/>
      <c r="P51" s="57"/>
      <c r="Q51" s="57"/>
      <c r="R51" s="58"/>
    </row>
    <row r="52" spans="2:18" ht="15.75" thickBot="1" x14ac:dyDescent="0.3">
      <c r="B52" s="60"/>
      <c r="C52" s="61"/>
      <c r="D52" s="61"/>
      <c r="E52" s="61"/>
      <c r="F52" s="61"/>
      <c r="G52" s="61"/>
      <c r="H52" s="61"/>
      <c r="I52" s="61"/>
      <c r="J52" s="61"/>
      <c r="K52" s="61"/>
      <c r="L52" s="61"/>
      <c r="M52" s="61"/>
      <c r="N52" s="61"/>
      <c r="O52" s="61"/>
      <c r="P52" s="61"/>
      <c r="Q52" s="61"/>
      <c r="R52" s="62"/>
    </row>
  </sheetData>
  <mergeCells count="12">
    <mergeCell ref="E50:O51"/>
    <mergeCell ref="F7:O8"/>
    <mergeCell ref="F11:O12"/>
    <mergeCell ref="F14:O15"/>
    <mergeCell ref="F22:O23"/>
    <mergeCell ref="F28:O29"/>
    <mergeCell ref="F33:O34"/>
    <mergeCell ref="F35:O36"/>
    <mergeCell ref="F40:O41"/>
    <mergeCell ref="F42:O43"/>
    <mergeCell ref="E46:O47"/>
    <mergeCell ref="E48:O4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AC8C-00DE-45B5-AE72-4D507B8A8024}">
  <dimension ref="B3:C11"/>
  <sheetViews>
    <sheetView showGridLines="0" showRowColHeaders="0" workbookViewId="0"/>
  </sheetViews>
  <sheetFormatPr defaultRowHeight="15" x14ac:dyDescent="0.25"/>
  <cols>
    <col min="1" max="2" width="4.7109375" customWidth="1"/>
  </cols>
  <sheetData>
    <row r="3" spans="2:3" ht="21" x14ac:dyDescent="0.35">
      <c r="B3" s="11" t="s">
        <v>111</v>
      </c>
    </row>
    <row r="5" spans="2:3" x14ac:dyDescent="0.25">
      <c r="C5" t="s">
        <v>112</v>
      </c>
    </row>
    <row r="7" spans="2:3" x14ac:dyDescent="0.25">
      <c r="C7" t="s">
        <v>113</v>
      </c>
    </row>
    <row r="9" spans="2:3" x14ac:dyDescent="0.25">
      <c r="C9" t="s">
        <v>114</v>
      </c>
    </row>
    <row r="11" spans="2:3" x14ac:dyDescent="0.25">
      <c r="C11"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DEA39-F785-4CB7-938C-8BF3BC6D747C}">
  <dimension ref="B2:P54"/>
  <sheetViews>
    <sheetView showGridLines="0" showRowColHeaders="0" zoomScale="120" zoomScaleNormal="120" workbookViewId="0"/>
  </sheetViews>
  <sheetFormatPr defaultRowHeight="15" x14ac:dyDescent="0.25"/>
  <cols>
    <col min="3" max="3" width="13.5703125" bestFit="1" customWidth="1"/>
    <col min="4" max="4" width="14" bestFit="1" customWidth="1"/>
    <col min="6" max="6" width="10.28515625" bestFit="1" customWidth="1"/>
    <col min="7" max="7" width="14" bestFit="1" customWidth="1"/>
    <col min="9" max="9" width="12.28515625" bestFit="1" customWidth="1"/>
    <col min="10" max="10" width="14" bestFit="1" customWidth="1"/>
    <col min="12" max="12" width="12" bestFit="1" customWidth="1"/>
    <col min="13" max="13" width="14" bestFit="1" customWidth="1"/>
    <col min="15" max="15" width="35.85546875" bestFit="1" customWidth="1"/>
    <col min="16" max="16" width="14" bestFit="1" customWidth="1"/>
  </cols>
  <sheetData>
    <row r="2" spans="2:16" ht="18.75" x14ac:dyDescent="0.3">
      <c r="B2" s="15" t="s">
        <v>22</v>
      </c>
    </row>
    <row r="4" spans="2:16" x14ac:dyDescent="0.25">
      <c r="C4" t="s">
        <v>18</v>
      </c>
      <c r="D4">
        <v>1338</v>
      </c>
    </row>
    <row r="6" spans="2:16" ht="15.75" thickBot="1" x14ac:dyDescent="0.3">
      <c r="F6" t="s">
        <v>24</v>
      </c>
      <c r="I6" t="s">
        <v>26</v>
      </c>
      <c r="L6" t="s">
        <v>23</v>
      </c>
      <c r="O6" t="s">
        <v>25</v>
      </c>
    </row>
    <row r="7" spans="2:16" ht="15.75" thickBot="1" x14ac:dyDescent="0.3">
      <c r="C7" s="8" t="s">
        <v>9</v>
      </c>
      <c r="D7" s="10" t="s">
        <v>17</v>
      </c>
      <c r="F7" s="8" t="s">
        <v>15</v>
      </c>
      <c r="G7" s="10" t="s">
        <v>17</v>
      </c>
      <c r="I7" s="8" t="s">
        <v>10</v>
      </c>
      <c r="J7" s="10" t="s">
        <v>17</v>
      </c>
      <c r="L7" s="29" t="s">
        <v>20</v>
      </c>
      <c r="M7" s="30" t="s">
        <v>17</v>
      </c>
      <c r="O7" s="8" t="s">
        <v>21</v>
      </c>
      <c r="P7" s="10" t="s">
        <v>17</v>
      </c>
    </row>
    <row r="8" spans="2:16" x14ac:dyDescent="0.25">
      <c r="C8" s="21">
        <v>18</v>
      </c>
      <c r="D8" s="22">
        <f>COUNTIFS('Raw Data'!$D$5:$D$1342,'Univariate Analysis'!C8)</f>
        <v>69</v>
      </c>
      <c r="F8" s="6" t="s">
        <v>0</v>
      </c>
      <c r="G8" s="22">
        <f>COUNTIFS('Raw Data'!$E$5:$E$1342,'Univariate Analysis'!F8)</f>
        <v>662</v>
      </c>
      <c r="I8" s="6" t="s">
        <v>1</v>
      </c>
      <c r="J8" s="22">
        <f>COUNTIFS('Raw Data'!$F$5:$F$1342,'Univariate Analysis'!I8)</f>
        <v>274</v>
      </c>
      <c r="L8" s="2">
        <v>5</v>
      </c>
      <c r="M8" s="25">
        <f>COUNTIFS('Raw Data'!$H$5:$H$1342,"&lt;="&amp;('Univariate Analysis'!L8+1))</f>
        <v>15</v>
      </c>
      <c r="O8" s="28">
        <v>10000</v>
      </c>
      <c r="P8" s="22">
        <f>COUNTIFS('Raw Data'!$J$5:$J$1342,"&lt;="&amp;('Univariate Analysis'!O8+1))</f>
        <v>269</v>
      </c>
    </row>
    <row r="9" spans="2:16" ht="15.75" thickBot="1" x14ac:dyDescent="0.3">
      <c r="C9" s="17">
        <v>19</v>
      </c>
      <c r="D9" s="18">
        <f>COUNTIFS('Raw Data'!$D$5:$D$1342,'Univariate Analysis'!C9)</f>
        <v>68</v>
      </c>
      <c r="F9" s="4" t="s">
        <v>3</v>
      </c>
      <c r="G9" s="20">
        <f>COUNTIFS('Raw Data'!$E$5:$E$1342,'Univariate Analysis'!F9)</f>
        <v>676</v>
      </c>
      <c r="I9" s="4" t="s">
        <v>4</v>
      </c>
      <c r="J9" s="20">
        <f>COUNTIFS('Raw Data'!$F$5:$F$1342,'Univariate Analysis'!I9)</f>
        <v>1064</v>
      </c>
      <c r="L9" s="3">
        <v>6</v>
      </c>
      <c r="M9" s="18">
        <f>COUNTIFS('Raw Data'!$H$5:$H$1342,"&lt;="&amp;('Univariate Analysis'!L9+1), 'Raw Data'!$H$5:$H$1342,"&gt;"&amp;(L8+1))</f>
        <v>50</v>
      </c>
      <c r="O9" s="26">
        <v>20000</v>
      </c>
      <c r="P9" s="18">
        <f>COUNTIFS('Raw Data'!$J$5:$J$1342,"&lt;="&amp;('Univariate Analysis'!O9+1), 'Raw Data'!$J$5:$J$1342,"&gt;"&amp;(O8+1))</f>
        <v>301</v>
      </c>
    </row>
    <row r="10" spans="2:16" x14ac:dyDescent="0.25">
      <c r="C10" s="17">
        <v>20</v>
      </c>
      <c r="D10" s="18">
        <f>COUNTIFS('Raw Data'!$D$5:$D$1342,'Univariate Analysis'!C10)</f>
        <v>29</v>
      </c>
      <c r="L10" s="3">
        <v>7</v>
      </c>
      <c r="M10" s="18">
        <f>COUNTIFS('Raw Data'!$H$5:$H$1342,"&lt;="&amp;('Univariate Analysis'!L10+1), 'Raw Data'!$H$5:$H$1342,"&gt;"&amp;(L9+1))</f>
        <v>123</v>
      </c>
      <c r="O10" s="26">
        <v>30000</v>
      </c>
      <c r="P10" s="18">
        <f>COUNTIFS('Raw Data'!$J$5:$J$1342,"&lt;="&amp;('Univariate Analysis'!O10+1), 'Raw Data'!$J$5:$J$1342,"&gt;"&amp;(O9+1))</f>
        <v>276</v>
      </c>
    </row>
    <row r="11" spans="2:16" ht="15.75" thickBot="1" x14ac:dyDescent="0.3">
      <c r="C11" s="17">
        <v>21</v>
      </c>
      <c r="D11" s="18">
        <f>COUNTIFS('Raw Data'!$D$5:$D$1342,'Univariate Analysis'!C11)</f>
        <v>28</v>
      </c>
      <c r="F11" t="s">
        <v>24</v>
      </c>
      <c r="L11" s="3">
        <v>8</v>
      </c>
      <c r="M11" s="18">
        <f>COUNTIFS('Raw Data'!$H$5:$H$1342,"&lt;="&amp;('Univariate Analysis'!L11+1), 'Raw Data'!$H$5:$H$1342,"&gt;"&amp;(L10+1))</f>
        <v>197</v>
      </c>
      <c r="O11" s="26">
        <v>40000</v>
      </c>
      <c r="P11" s="18">
        <f>COUNTIFS('Raw Data'!$J$5:$J$1342,"&lt;="&amp;('Univariate Analysis'!O11+1), 'Raw Data'!$J$5:$J$1342,"&gt;"&amp;(O10+1))</f>
        <v>146</v>
      </c>
    </row>
    <row r="12" spans="2:16" ht="15.75" thickBot="1" x14ac:dyDescent="0.3">
      <c r="C12" s="17">
        <v>22</v>
      </c>
      <c r="D12" s="18">
        <f>COUNTIFS('Raw Data'!$D$5:$D$1342,'Univariate Analysis'!C12)</f>
        <v>28</v>
      </c>
      <c r="F12" s="8" t="s">
        <v>11</v>
      </c>
      <c r="G12" s="10" t="s">
        <v>17</v>
      </c>
      <c r="I12" s="8" t="s">
        <v>19</v>
      </c>
      <c r="J12" s="10" t="s">
        <v>17</v>
      </c>
      <c r="L12" s="3">
        <v>9</v>
      </c>
      <c r="M12" s="18">
        <f>COUNTIFS('Raw Data'!$H$5:$H$1342,"&lt;="&amp;('Univariate Analysis'!L12+1), 'Raw Data'!$H$5:$H$1342,"&gt;"&amp;(L11+1))</f>
        <v>248</v>
      </c>
      <c r="O12" s="26">
        <v>50000</v>
      </c>
      <c r="P12" s="18">
        <f>COUNTIFS('Raw Data'!$J$5:$J$1342,"&lt;="&amp;('Univariate Analysis'!O12+1), 'Raw Data'!$J$5:$J$1342,"&gt;"&amp;(O11+1))</f>
        <v>73</v>
      </c>
    </row>
    <row r="13" spans="2:16" x14ac:dyDescent="0.25">
      <c r="C13" s="17">
        <v>23</v>
      </c>
      <c r="D13" s="18">
        <f>COUNTIFS('Raw Data'!$D$5:$D$1342,'Univariate Analysis'!C13)</f>
        <v>28</v>
      </c>
      <c r="F13" s="6" t="s">
        <v>2</v>
      </c>
      <c r="G13" s="22">
        <f>COUNTIFS('Raw Data'!$G$5:$G$1342,'Univariate Analysis'!F13)</f>
        <v>325</v>
      </c>
      <c r="I13" s="2">
        <v>0</v>
      </c>
      <c r="J13" s="25">
        <f>COUNTIFS('Raw Data'!$I$5:$I$1342,'Univariate Analysis'!I13)</f>
        <v>574</v>
      </c>
      <c r="L13" s="3">
        <v>10</v>
      </c>
      <c r="M13" s="18">
        <f>COUNTIFS('Raw Data'!$H$5:$H$1342,"&lt;="&amp;('Univariate Analysis'!L13+1), 'Raw Data'!$H$5:$H$1342,"&gt;"&amp;(L12+1))</f>
        <v>249</v>
      </c>
      <c r="O13" s="26">
        <v>60000</v>
      </c>
      <c r="P13" s="18">
        <f>COUNTIFS('Raw Data'!$J$5:$J$1342,"&lt;="&amp;('Univariate Analysis'!O13+1), 'Raw Data'!$J$5:$J$1342,"&gt;"&amp;(O12+1))</f>
        <v>56</v>
      </c>
    </row>
    <row r="14" spans="2:16" x14ac:dyDescent="0.25">
      <c r="C14" s="17">
        <v>24</v>
      </c>
      <c r="D14" s="18">
        <f>COUNTIFS('Raw Data'!$D$5:$D$1342,'Univariate Analysis'!C14)</f>
        <v>28</v>
      </c>
      <c r="F14" s="3" t="s">
        <v>5</v>
      </c>
      <c r="G14" s="22">
        <f>COUNTIFS('Raw Data'!$G$5:$G$1342,'Univariate Analysis'!F14)</f>
        <v>364</v>
      </c>
      <c r="I14" s="6">
        <v>1</v>
      </c>
      <c r="J14" s="22">
        <f>COUNTIFS('Raw Data'!$I$5:$I$1342,'Univariate Analysis'!I14)</f>
        <v>324</v>
      </c>
      <c r="L14" s="3">
        <v>11</v>
      </c>
      <c r="M14" s="18">
        <f>COUNTIFS('Raw Data'!$H$5:$H$1342,"&lt;="&amp;('Univariate Analysis'!L14+1), 'Raw Data'!$H$5:$H$1342,"&gt;"&amp;(L13+1))</f>
        <v>200</v>
      </c>
      <c r="O14" s="26">
        <v>70000</v>
      </c>
      <c r="P14" s="18">
        <f>COUNTIFS('Raw Data'!$J$5:$J$1342,"&lt;="&amp;('Univariate Analysis'!O14+1), 'Raw Data'!$J$5:$J$1342,"&gt;"&amp;(O13+1))</f>
        <v>43</v>
      </c>
    </row>
    <row r="15" spans="2:16" x14ac:dyDescent="0.25">
      <c r="C15" s="17">
        <v>25</v>
      </c>
      <c r="D15" s="18">
        <f>COUNTIFS('Raw Data'!$D$5:$D$1342,'Univariate Analysis'!C15)</f>
        <v>28</v>
      </c>
      <c r="F15" s="3" t="s">
        <v>6</v>
      </c>
      <c r="G15" s="22">
        <f>COUNTIFS('Raw Data'!$G$5:$G$1342,'Univariate Analysis'!F15)</f>
        <v>325</v>
      </c>
      <c r="I15" s="3">
        <v>2</v>
      </c>
      <c r="J15" s="22">
        <f>COUNTIFS('Raw Data'!$I$5:$I$1342,'Univariate Analysis'!I15)</f>
        <v>240</v>
      </c>
      <c r="L15" s="3">
        <v>12</v>
      </c>
      <c r="M15" s="18">
        <f>COUNTIFS('Raw Data'!$H$5:$H$1342,"&lt;="&amp;('Univariate Analysis'!L15+1), 'Raw Data'!$H$5:$H$1342,"&gt;"&amp;(L14+1))</f>
        <v>130</v>
      </c>
      <c r="O15" s="26">
        <v>80000</v>
      </c>
      <c r="P15" s="18">
        <f>COUNTIFS('Raw Data'!$J$5:$J$1342,"&lt;="&amp;('Univariate Analysis'!O15+1), 'Raw Data'!$J$5:$J$1342,"&gt;"&amp;(O14+1))</f>
        <v>19</v>
      </c>
    </row>
    <row r="16" spans="2:16" ht="15.75" thickBot="1" x14ac:dyDescent="0.3">
      <c r="C16" s="17">
        <v>26</v>
      </c>
      <c r="D16" s="18">
        <f>COUNTIFS('Raw Data'!$D$5:$D$1342,'Univariate Analysis'!C16)</f>
        <v>28</v>
      </c>
      <c r="F16" s="4" t="s">
        <v>7</v>
      </c>
      <c r="G16" s="23">
        <f>COUNTIFS('Raw Data'!$G$5:$G$1342,'Univariate Analysis'!F16)</f>
        <v>324</v>
      </c>
      <c r="I16" s="3">
        <v>3</v>
      </c>
      <c r="J16" s="22">
        <f>COUNTIFS('Raw Data'!$I$5:$I$1342,'Univariate Analysis'!I16)</f>
        <v>157</v>
      </c>
      <c r="L16" s="3">
        <v>13</v>
      </c>
      <c r="M16" s="18">
        <f>COUNTIFS('Raw Data'!$H$5:$H$1342,"&lt;="&amp;('Univariate Analysis'!L16+1), 'Raw Data'!$H$5:$H$1342,"&gt;"&amp;(L15+1))</f>
        <v>77</v>
      </c>
      <c r="O16" s="26">
        <v>90000</v>
      </c>
      <c r="P16" s="18">
        <f>COUNTIFS('Raw Data'!$J$5:$J$1342,"&lt;="&amp;('Univariate Analysis'!O16+1), 'Raw Data'!$J$5:$J$1342,"&gt;"&amp;(O15+1))</f>
        <v>28</v>
      </c>
    </row>
    <row r="17" spans="3:16" x14ac:dyDescent="0.25">
      <c r="C17" s="17">
        <v>27</v>
      </c>
      <c r="D17" s="18">
        <f>COUNTIFS('Raw Data'!$D$5:$D$1342,'Univariate Analysis'!C17)</f>
        <v>28</v>
      </c>
      <c r="I17" s="24">
        <v>4</v>
      </c>
      <c r="J17" s="18">
        <f>COUNTIFS('Raw Data'!$I$5:$I$1342,'Univariate Analysis'!I17)</f>
        <v>25</v>
      </c>
      <c r="L17" s="3">
        <v>14</v>
      </c>
      <c r="M17" s="18">
        <f>COUNTIFS('Raw Data'!$H$5:$H$1342,"&lt;="&amp;('Univariate Analysis'!L17+1), 'Raw Data'!$H$5:$H$1342,"&gt;"&amp;(L16+1))</f>
        <v>29</v>
      </c>
      <c r="O17" s="26">
        <v>100000</v>
      </c>
      <c r="P17" s="18">
        <f>COUNTIFS('Raw Data'!$J$5:$J$1342,"&lt;="&amp;('Univariate Analysis'!O17+1), 'Raw Data'!$J$5:$J$1342,"&gt;"&amp;(O16+1))</f>
        <v>48</v>
      </c>
    </row>
    <row r="18" spans="3:16" ht="15.75" thickBot="1" x14ac:dyDescent="0.3">
      <c r="C18" s="17">
        <v>28</v>
      </c>
      <c r="D18" s="18">
        <f>COUNTIFS('Raw Data'!$D$5:$D$1342,'Univariate Analysis'!C18)</f>
        <v>28</v>
      </c>
      <c r="I18" s="4">
        <v>5</v>
      </c>
      <c r="J18" s="20">
        <f>COUNTIFS('Raw Data'!$I$5:$I$1342,'Univariate Analysis'!I18)</f>
        <v>18</v>
      </c>
      <c r="L18" s="3">
        <v>15</v>
      </c>
      <c r="M18" s="18">
        <f>COUNTIFS('Raw Data'!$H$5:$H$1342,"&lt;="&amp;('Univariate Analysis'!L18+1), 'Raw Data'!$H$5:$H$1342,"&gt;"&amp;(L17+1))</f>
        <v>15</v>
      </c>
      <c r="O18" s="26">
        <v>110000</v>
      </c>
      <c r="P18" s="18">
        <f>COUNTIFS('Raw Data'!$J$5:$J$1342,"&lt;="&amp;('Univariate Analysis'!O18+1), 'Raw Data'!$J$5:$J$1342,"&gt;"&amp;(O17+1))</f>
        <v>34</v>
      </c>
    </row>
    <row r="19" spans="3:16" x14ac:dyDescent="0.25">
      <c r="C19" s="17">
        <v>29</v>
      </c>
      <c r="D19" s="18">
        <f>COUNTIFS('Raw Data'!$D$5:$D$1342,'Univariate Analysis'!C19)</f>
        <v>27</v>
      </c>
      <c r="L19" s="3">
        <v>16</v>
      </c>
      <c r="M19" s="18">
        <f>COUNTIFS('Raw Data'!$H$5:$H$1342,"&lt;="&amp;('Univariate Analysis'!L19+1), 'Raw Data'!$H$5:$H$1342,"&gt;"&amp;(L18+1))</f>
        <v>3</v>
      </c>
      <c r="O19" s="26">
        <v>120000</v>
      </c>
      <c r="P19" s="18">
        <f>COUNTIFS('Raw Data'!$J$5:$J$1342,"&lt;="&amp;('Univariate Analysis'!O19+1), 'Raw Data'!$J$5:$J$1342,"&gt;"&amp;(O18+1))</f>
        <v>29</v>
      </c>
    </row>
    <row r="20" spans="3:16" ht="15.75" thickBot="1" x14ac:dyDescent="0.3">
      <c r="C20" s="17">
        <v>30</v>
      </c>
      <c r="D20" s="18">
        <f>COUNTIFS('Raw Data'!$D$5:$D$1342,'Univariate Analysis'!C20)</f>
        <v>27</v>
      </c>
      <c r="L20" s="4">
        <v>17</v>
      </c>
      <c r="M20" s="20">
        <f>COUNTIFS('Raw Data'!$H$5:$H$1342,"&lt;="&amp;('Univariate Analysis'!L20+1), 'Raw Data'!$H$5:$H$1342,"&gt;"&amp;(L19+1))</f>
        <v>2</v>
      </c>
      <c r="O20" s="26">
        <v>130000</v>
      </c>
      <c r="P20" s="18">
        <f>COUNTIFS('Raw Data'!$J$5:$J$1342,"&lt;="&amp;('Univariate Analysis'!O20+1), 'Raw Data'!$J$5:$J$1342,"&gt;"&amp;(O19+1))</f>
        <v>10</v>
      </c>
    </row>
    <row r="21" spans="3:16" ht="15.75" thickBot="1" x14ac:dyDescent="0.3">
      <c r="C21" s="17">
        <v>31</v>
      </c>
      <c r="D21" s="18">
        <f>COUNTIFS('Raw Data'!$D$5:$D$1342,'Univariate Analysis'!C21)</f>
        <v>27</v>
      </c>
      <c r="O21" s="27">
        <v>140000</v>
      </c>
      <c r="P21" s="20">
        <f>COUNTIFS('Raw Data'!$J$5:$J$1342,"&lt;="&amp;('Univariate Analysis'!O21+1), 'Raw Data'!$J$5:$J$1342,"&gt;"&amp;(O20+1))</f>
        <v>2</v>
      </c>
    </row>
    <row r="22" spans="3:16" x14ac:dyDescent="0.25">
      <c r="C22" s="17">
        <v>32</v>
      </c>
      <c r="D22" s="18">
        <f>COUNTIFS('Raw Data'!$D$5:$D$1342,'Univariate Analysis'!C22)</f>
        <v>26</v>
      </c>
    </row>
    <row r="23" spans="3:16" x14ac:dyDescent="0.25">
      <c r="C23" s="17">
        <v>33</v>
      </c>
      <c r="D23" s="18">
        <f>COUNTIFS('Raw Data'!$D$5:$D$1342,'Univariate Analysis'!C23)</f>
        <v>26</v>
      </c>
    </row>
    <row r="24" spans="3:16" x14ac:dyDescent="0.25">
      <c r="C24" s="17">
        <v>34</v>
      </c>
      <c r="D24" s="18">
        <f>COUNTIFS('Raw Data'!$D$5:$D$1342,'Univariate Analysis'!C24)</f>
        <v>26</v>
      </c>
    </row>
    <row r="25" spans="3:16" x14ac:dyDescent="0.25">
      <c r="C25" s="17">
        <v>35</v>
      </c>
      <c r="D25" s="18">
        <f>COUNTIFS('Raw Data'!$D$5:$D$1342,'Univariate Analysis'!C25)</f>
        <v>25</v>
      </c>
    </row>
    <row r="26" spans="3:16" x14ac:dyDescent="0.25">
      <c r="C26" s="17">
        <v>36</v>
      </c>
      <c r="D26" s="18">
        <f>COUNTIFS('Raw Data'!$D$5:$D$1342,'Univariate Analysis'!C26)</f>
        <v>25</v>
      </c>
    </row>
    <row r="27" spans="3:16" x14ac:dyDescent="0.25">
      <c r="C27" s="17">
        <v>37</v>
      </c>
      <c r="D27" s="18">
        <f>COUNTIFS('Raw Data'!$D$5:$D$1342,'Univariate Analysis'!C27)</f>
        <v>25</v>
      </c>
    </row>
    <row r="28" spans="3:16" x14ac:dyDescent="0.25">
      <c r="C28" s="17">
        <v>38</v>
      </c>
      <c r="D28" s="18">
        <f>COUNTIFS('Raw Data'!$D$5:$D$1342,'Univariate Analysis'!C28)</f>
        <v>25</v>
      </c>
    </row>
    <row r="29" spans="3:16" x14ac:dyDescent="0.25">
      <c r="C29" s="17">
        <v>39</v>
      </c>
      <c r="D29" s="18">
        <f>COUNTIFS('Raw Data'!$D$5:$D$1342,'Univariate Analysis'!C29)</f>
        <v>25</v>
      </c>
    </row>
    <row r="30" spans="3:16" x14ac:dyDescent="0.25">
      <c r="C30" s="17">
        <v>40</v>
      </c>
      <c r="D30" s="18">
        <f>COUNTIFS('Raw Data'!$D$5:$D$1342,'Univariate Analysis'!C30)</f>
        <v>27</v>
      </c>
    </row>
    <row r="31" spans="3:16" x14ac:dyDescent="0.25">
      <c r="C31" s="17">
        <v>41</v>
      </c>
      <c r="D31" s="18">
        <f>COUNTIFS('Raw Data'!$D$5:$D$1342,'Univariate Analysis'!C31)</f>
        <v>27</v>
      </c>
    </row>
    <row r="32" spans="3:16" x14ac:dyDescent="0.25">
      <c r="C32" s="17">
        <v>42</v>
      </c>
      <c r="D32" s="18">
        <f>COUNTIFS('Raw Data'!$D$5:$D$1342,'Univariate Analysis'!C32)</f>
        <v>27</v>
      </c>
    </row>
    <row r="33" spans="3:4" x14ac:dyDescent="0.25">
      <c r="C33" s="17">
        <v>43</v>
      </c>
      <c r="D33" s="18">
        <f>COUNTIFS('Raw Data'!$D$5:$D$1342,'Univariate Analysis'!C33)</f>
        <v>27</v>
      </c>
    </row>
    <row r="34" spans="3:4" x14ac:dyDescent="0.25">
      <c r="C34" s="17">
        <v>44</v>
      </c>
      <c r="D34" s="18">
        <f>COUNTIFS('Raw Data'!$D$5:$D$1342,'Univariate Analysis'!C34)</f>
        <v>27</v>
      </c>
    </row>
    <row r="35" spans="3:4" x14ac:dyDescent="0.25">
      <c r="C35" s="17">
        <v>45</v>
      </c>
      <c r="D35" s="18">
        <f>COUNTIFS('Raw Data'!$D$5:$D$1342,'Univariate Analysis'!C35)</f>
        <v>29</v>
      </c>
    </row>
    <row r="36" spans="3:4" x14ac:dyDescent="0.25">
      <c r="C36" s="17">
        <v>46</v>
      </c>
      <c r="D36" s="18">
        <f>COUNTIFS('Raw Data'!$D$5:$D$1342,'Univariate Analysis'!C36)</f>
        <v>29</v>
      </c>
    </row>
    <row r="37" spans="3:4" x14ac:dyDescent="0.25">
      <c r="C37" s="17">
        <v>47</v>
      </c>
      <c r="D37" s="18">
        <f>COUNTIFS('Raw Data'!$D$5:$D$1342,'Univariate Analysis'!C37)</f>
        <v>29</v>
      </c>
    </row>
    <row r="38" spans="3:4" x14ac:dyDescent="0.25">
      <c r="C38" s="17">
        <v>48</v>
      </c>
      <c r="D38" s="18">
        <f>COUNTIFS('Raw Data'!$D$5:$D$1342,'Univariate Analysis'!C38)</f>
        <v>29</v>
      </c>
    </row>
    <row r="39" spans="3:4" x14ac:dyDescent="0.25">
      <c r="C39" s="17">
        <v>49</v>
      </c>
      <c r="D39" s="18">
        <f>COUNTIFS('Raw Data'!$D$5:$D$1342,'Univariate Analysis'!C39)</f>
        <v>28</v>
      </c>
    </row>
    <row r="40" spans="3:4" x14ac:dyDescent="0.25">
      <c r="C40" s="17">
        <v>50</v>
      </c>
      <c r="D40" s="18">
        <f>COUNTIFS('Raw Data'!$D$5:$D$1342,'Univariate Analysis'!C40)</f>
        <v>29</v>
      </c>
    </row>
    <row r="41" spans="3:4" x14ac:dyDescent="0.25">
      <c r="C41" s="17">
        <v>51</v>
      </c>
      <c r="D41" s="18">
        <f>COUNTIFS('Raw Data'!$D$5:$D$1342,'Univariate Analysis'!C41)</f>
        <v>29</v>
      </c>
    </row>
    <row r="42" spans="3:4" x14ac:dyDescent="0.25">
      <c r="C42" s="17">
        <v>52</v>
      </c>
      <c r="D42" s="18">
        <f>COUNTIFS('Raw Data'!$D$5:$D$1342,'Univariate Analysis'!C42)</f>
        <v>29</v>
      </c>
    </row>
    <row r="43" spans="3:4" x14ac:dyDescent="0.25">
      <c r="C43" s="17">
        <v>53</v>
      </c>
      <c r="D43" s="18">
        <f>COUNTIFS('Raw Data'!$D$5:$D$1342,'Univariate Analysis'!C43)</f>
        <v>28</v>
      </c>
    </row>
    <row r="44" spans="3:4" x14ac:dyDescent="0.25">
      <c r="C44" s="17">
        <v>54</v>
      </c>
      <c r="D44" s="18">
        <f>COUNTIFS('Raw Data'!$D$5:$D$1342,'Univariate Analysis'!C44)</f>
        <v>28</v>
      </c>
    </row>
    <row r="45" spans="3:4" x14ac:dyDescent="0.25">
      <c r="C45" s="17">
        <v>55</v>
      </c>
      <c r="D45" s="18">
        <f>COUNTIFS('Raw Data'!$D$5:$D$1342,'Univariate Analysis'!C45)</f>
        <v>26</v>
      </c>
    </row>
    <row r="46" spans="3:4" x14ac:dyDescent="0.25">
      <c r="C46" s="17">
        <v>56</v>
      </c>
      <c r="D46" s="18">
        <f>COUNTIFS('Raw Data'!$D$5:$D$1342,'Univariate Analysis'!C46)</f>
        <v>26</v>
      </c>
    </row>
    <row r="47" spans="3:4" x14ac:dyDescent="0.25">
      <c r="C47" s="17">
        <v>57</v>
      </c>
      <c r="D47" s="18">
        <f>COUNTIFS('Raw Data'!$D$5:$D$1342,'Univariate Analysis'!C47)</f>
        <v>26</v>
      </c>
    </row>
    <row r="48" spans="3:4" x14ac:dyDescent="0.25">
      <c r="C48" s="17">
        <v>58</v>
      </c>
      <c r="D48" s="18">
        <f>COUNTIFS('Raw Data'!$D$5:$D$1342,'Univariate Analysis'!C48)</f>
        <v>25</v>
      </c>
    </row>
    <row r="49" spans="3:4" x14ac:dyDescent="0.25">
      <c r="C49" s="17">
        <v>59</v>
      </c>
      <c r="D49" s="18">
        <f>COUNTIFS('Raw Data'!$D$5:$D$1342,'Univariate Analysis'!C49)</f>
        <v>25</v>
      </c>
    </row>
    <row r="50" spans="3:4" x14ac:dyDescent="0.25">
      <c r="C50" s="17">
        <v>60</v>
      </c>
      <c r="D50" s="18">
        <f>COUNTIFS('Raw Data'!$D$5:$D$1342,'Univariate Analysis'!C50)</f>
        <v>23</v>
      </c>
    </row>
    <row r="51" spans="3:4" x14ac:dyDescent="0.25">
      <c r="C51" s="17">
        <v>61</v>
      </c>
      <c r="D51" s="18">
        <f>COUNTIFS('Raw Data'!$D$5:$D$1342,'Univariate Analysis'!C51)</f>
        <v>23</v>
      </c>
    </row>
    <row r="52" spans="3:4" x14ac:dyDescent="0.25">
      <c r="C52" s="17">
        <v>62</v>
      </c>
      <c r="D52" s="18">
        <f>COUNTIFS('Raw Data'!$D$5:$D$1342,'Univariate Analysis'!C52)</f>
        <v>23</v>
      </c>
    </row>
    <row r="53" spans="3:4" x14ac:dyDescent="0.25">
      <c r="C53" s="17">
        <v>63</v>
      </c>
      <c r="D53" s="18">
        <f>COUNTIFS('Raw Data'!$D$5:$D$1342,'Univariate Analysis'!C53)</f>
        <v>23</v>
      </c>
    </row>
    <row r="54" spans="3:4" ht="15.75" thickBot="1" x14ac:dyDescent="0.3">
      <c r="C54" s="19">
        <v>64</v>
      </c>
      <c r="D54" s="20">
        <f>COUNTIFS('Raw Data'!$D$5:$D$1342,'Univariate Analysis'!C54)</f>
        <v>22</v>
      </c>
    </row>
  </sheetData>
  <autoFilter ref="O7:P7" xr:uid="{A11DEA39-F785-4CB7-938C-8BF3BC6D747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6D4E-7D07-4928-AA54-0B76AAFF6082}">
  <dimension ref="B2:K40"/>
  <sheetViews>
    <sheetView showGridLines="0" showRowColHeaders="0" zoomScale="120" zoomScaleNormal="120" workbookViewId="0"/>
  </sheetViews>
  <sheetFormatPr defaultRowHeight="15" x14ac:dyDescent="0.25"/>
  <cols>
    <col min="5" max="5" width="29" bestFit="1" customWidth="1"/>
    <col min="6" max="6" width="34.7109375" bestFit="1" customWidth="1"/>
    <col min="7" max="7" width="34.5703125" bestFit="1" customWidth="1"/>
  </cols>
  <sheetData>
    <row r="2" spans="2:7" ht="18.75" x14ac:dyDescent="0.3">
      <c r="B2" s="15" t="s">
        <v>49</v>
      </c>
    </row>
    <row r="4" spans="2:7" x14ac:dyDescent="0.25">
      <c r="C4" t="s">
        <v>27</v>
      </c>
    </row>
    <row r="6" spans="2:7" x14ac:dyDescent="0.25">
      <c r="C6" t="s">
        <v>28</v>
      </c>
    </row>
    <row r="8" spans="2:7" x14ac:dyDescent="0.25">
      <c r="C8" t="s">
        <v>29</v>
      </c>
    </row>
    <row r="9" spans="2:7" x14ac:dyDescent="0.25">
      <c r="D9" t="s">
        <v>31</v>
      </c>
    </row>
    <row r="10" spans="2:7" x14ac:dyDescent="0.25">
      <c r="D10" t="s">
        <v>30</v>
      </c>
    </row>
    <row r="12" spans="2:7" ht="15.75" thickBot="1" x14ac:dyDescent="0.3"/>
    <row r="13" spans="2:7" ht="15.75" thickBot="1" x14ac:dyDescent="0.3">
      <c r="E13" s="29" t="s">
        <v>10</v>
      </c>
      <c r="F13" s="29" t="s">
        <v>32</v>
      </c>
      <c r="G13" s="29" t="s">
        <v>35</v>
      </c>
    </row>
    <row r="14" spans="2:7" x14ac:dyDescent="0.25">
      <c r="E14" s="2" t="s">
        <v>33</v>
      </c>
      <c r="F14" s="31">
        <f>AVERAGEIFS('Raw Data'!$J$5:$J$1342,'Raw Data'!$F$5:$F$1342,'Hypothesis Testing - Smoking'!E14)</f>
        <v>80125.572992700734</v>
      </c>
      <c r="G14" s="31">
        <f>'Raw Data'!N1</f>
        <v>28801.18992162661</v>
      </c>
    </row>
    <row r="15" spans="2:7" ht="15.75" thickBot="1" x14ac:dyDescent="0.3">
      <c r="E15" s="4" t="s">
        <v>34</v>
      </c>
      <c r="F15" s="32">
        <f>AVERAGEIFS('Raw Data'!$J$5:$J$1342,'Raw Data'!$F$5:$F$1342,'Hypothesis Testing - Smoking'!E15)</f>
        <v>21085.675751879699</v>
      </c>
      <c r="G15" s="32">
        <f>'Raw Data'!M1</f>
        <v>14977.412277719421</v>
      </c>
    </row>
    <row r="18" spans="4:7" x14ac:dyDescent="0.25">
      <c r="E18" t="s">
        <v>37</v>
      </c>
    </row>
    <row r="19" spans="4:7" ht="15.75" thickBot="1" x14ac:dyDescent="0.3"/>
    <row r="20" spans="4:7" x14ac:dyDescent="0.25">
      <c r="E20" s="35"/>
      <c r="F20" s="34" t="s">
        <v>10</v>
      </c>
      <c r="G20" s="36" t="s">
        <v>48</v>
      </c>
    </row>
    <row r="21" spans="4:7" x14ac:dyDescent="0.25">
      <c r="E21" s="37" t="s">
        <v>38</v>
      </c>
      <c r="F21">
        <v>80125.572992700734</v>
      </c>
      <c r="G21" s="38">
        <v>21085.675751879699</v>
      </c>
    </row>
    <row r="22" spans="4:7" x14ac:dyDescent="0.25">
      <c r="E22" s="37" t="s">
        <v>39</v>
      </c>
      <c r="F22">
        <v>832547033.72542143</v>
      </c>
      <c r="G22" s="38">
        <v>224533906.64452907</v>
      </c>
    </row>
    <row r="23" spans="4:7" x14ac:dyDescent="0.25">
      <c r="E23" s="37" t="s">
        <v>40</v>
      </c>
      <c r="F23">
        <v>274</v>
      </c>
      <c r="G23" s="38">
        <v>1064</v>
      </c>
    </row>
    <row r="24" spans="4:7" x14ac:dyDescent="0.25">
      <c r="E24" s="37" t="s">
        <v>41</v>
      </c>
      <c r="F24">
        <v>0</v>
      </c>
      <c r="G24" s="38"/>
    </row>
    <row r="25" spans="4:7" x14ac:dyDescent="0.25">
      <c r="E25" s="37" t="s">
        <v>42</v>
      </c>
      <c r="F25">
        <v>312</v>
      </c>
      <c r="G25" s="38"/>
    </row>
    <row r="26" spans="4:7" x14ac:dyDescent="0.25">
      <c r="E26" s="37" t="s">
        <v>43</v>
      </c>
      <c r="F26">
        <v>32.751856578287203</v>
      </c>
      <c r="G26" s="38"/>
    </row>
    <row r="27" spans="4:7" x14ac:dyDescent="0.25">
      <c r="E27" s="37" t="s">
        <v>44</v>
      </c>
      <c r="F27">
        <v>2.7920874631988985E-103</v>
      </c>
      <c r="G27" s="38"/>
    </row>
    <row r="28" spans="4:7" x14ac:dyDescent="0.25">
      <c r="E28" s="37" t="s">
        <v>45</v>
      </c>
      <c r="F28">
        <v>1.6497521243640911</v>
      </c>
      <c r="G28" s="38"/>
    </row>
    <row r="29" spans="4:7" x14ac:dyDescent="0.25">
      <c r="E29" s="37" t="s">
        <v>46</v>
      </c>
      <c r="F29">
        <v>5.5841749263977969E-103</v>
      </c>
      <c r="G29" s="38"/>
    </row>
    <row r="30" spans="4:7" ht="15.75" thickBot="1" x14ac:dyDescent="0.3">
      <c r="E30" s="39" t="s">
        <v>47</v>
      </c>
      <c r="F30" s="33">
        <v>1.9675964973877667</v>
      </c>
      <c r="G30" s="40"/>
    </row>
    <row r="32" spans="4:7" x14ac:dyDescent="0.25">
      <c r="D32" t="s">
        <v>103</v>
      </c>
    </row>
    <row r="33" spans="3:11" x14ac:dyDescent="0.25">
      <c r="D33" t="s">
        <v>104</v>
      </c>
    </row>
    <row r="35" spans="3:11" x14ac:dyDescent="0.25">
      <c r="C35" t="s">
        <v>105</v>
      </c>
    </row>
    <row r="36" spans="3:11" ht="15.75" thickBot="1" x14ac:dyDescent="0.3"/>
    <row r="37" spans="3:11" x14ac:dyDescent="0.25">
      <c r="C37" s="70" t="s">
        <v>50</v>
      </c>
      <c r="D37" s="71"/>
      <c r="E37" s="71"/>
      <c r="F37" s="71"/>
      <c r="G37" s="71"/>
      <c r="H37" s="71"/>
      <c r="I37" s="71"/>
      <c r="J37" s="71"/>
      <c r="K37" s="72"/>
    </row>
    <row r="38" spans="3:11" x14ac:dyDescent="0.25">
      <c r="C38" s="73"/>
      <c r="D38" s="74"/>
      <c r="E38" s="74"/>
      <c r="F38" s="74"/>
      <c r="G38" s="74"/>
      <c r="H38" s="74"/>
      <c r="I38" s="74"/>
      <c r="J38" s="74"/>
      <c r="K38" s="75"/>
    </row>
    <row r="39" spans="3:11" x14ac:dyDescent="0.25">
      <c r="C39" s="73"/>
      <c r="D39" s="74"/>
      <c r="E39" s="74"/>
      <c r="F39" s="74"/>
      <c r="G39" s="74"/>
      <c r="H39" s="74"/>
      <c r="I39" s="74"/>
      <c r="J39" s="74"/>
      <c r="K39" s="75"/>
    </row>
    <row r="40" spans="3:11" ht="15.75" thickBot="1" x14ac:dyDescent="0.3">
      <c r="C40" s="76"/>
      <c r="D40" s="77"/>
      <c r="E40" s="77"/>
      <c r="F40" s="77"/>
      <c r="G40" s="77"/>
      <c r="H40" s="77"/>
      <c r="I40" s="77"/>
      <c r="J40" s="77"/>
      <c r="K40" s="78"/>
    </row>
  </sheetData>
  <autoFilter ref="E13:G15" xr:uid="{346B6D4E-7D07-4928-AA54-0B76AAFF6082}"/>
  <mergeCells count="1">
    <mergeCell ref="C37:K4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1A26-36F8-480C-86E1-88944D45A7F0}">
  <dimension ref="B2:V1343"/>
  <sheetViews>
    <sheetView showGridLines="0" showRowColHeaders="0" zoomScale="120" zoomScaleNormal="120" workbookViewId="0"/>
  </sheetViews>
  <sheetFormatPr defaultRowHeight="15" x14ac:dyDescent="0.25"/>
  <cols>
    <col min="3" max="3" width="14.28515625" bestFit="1" customWidth="1"/>
    <col min="4" max="4" width="26.7109375" bestFit="1" customWidth="1"/>
  </cols>
  <sheetData>
    <row r="2" spans="2:9" ht="18.75" x14ac:dyDescent="0.3">
      <c r="B2" s="15" t="s">
        <v>51</v>
      </c>
    </row>
    <row r="4" spans="2:9" ht="15.75" thickBot="1" x14ac:dyDescent="0.3"/>
    <row r="5" spans="2:9" ht="15.75" thickBot="1" x14ac:dyDescent="0.3">
      <c r="C5" s="8" t="s">
        <v>12</v>
      </c>
      <c r="D5" s="10" t="s">
        <v>14</v>
      </c>
    </row>
    <row r="6" spans="2:9" x14ac:dyDescent="0.25">
      <c r="C6" s="6">
        <v>9.3000000000000007</v>
      </c>
      <c r="D6" s="12">
        <v>42212</v>
      </c>
      <c r="G6" t="s">
        <v>52</v>
      </c>
    </row>
    <row r="7" spans="2:9" ht="15.75" thickBot="1" x14ac:dyDescent="0.3">
      <c r="C7" s="3">
        <v>11.26</v>
      </c>
      <c r="D7" s="13">
        <v>4314</v>
      </c>
    </row>
    <row r="8" spans="2:9" x14ac:dyDescent="0.25">
      <c r="C8" s="3">
        <v>11</v>
      </c>
      <c r="D8" s="13">
        <v>11124</v>
      </c>
      <c r="G8" s="34"/>
      <c r="H8" s="34" t="s">
        <v>53</v>
      </c>
      <c r="I8" s="34" t="s">
        <v>54</v>
      </c>
    </row>
    <row r="9" spans="2:9" x14ac:dyDescent="0.25">
      <c r="C9" s="3">
        <v>7.57</v>
      </c>
      <c r="D9" s="13">
        <v>54961</v>
      </c>
      <c r="G9" t="s">
        <v>53</v>
      </c>
      <c r="H9">
        <v>1</v>
      </c>
    </row>
    <row r="10" spans="2:9" ht="15.75" thickBot="1" x14ac:dyDescent="0.3">
      <c r="C10" s="3">
        <v>9.6300000000000008</v>
      </c>
      <c r="D10" s="13">
        <v>9667</v>
      </c>
      <c r="G10" s="33" t="s">
        <v>54</v>
      </c>
      <c r="H10" s="33">
        <v>0.19838753185561009</v>
      </c>
      <c r="I10" s="33">
        <v>1</v>
      </c>
    </row>
    <row r="11" spans="2:9" x14ac:dyDescent="0.25">
      <c r="C11" s="3">
        <v>8.58</v>
      </c>
      <c r="D11" s="13">
        <v>9392</v>
      </c>
    </row>
    <row r="12" spans="2:9" x14ac:dyDescent="0.25">
      <c r="C12" s="3">
        <v>11.15</v>
      </c>
      <c r="D12" s="13">
        <v>20601</v>
      </c>
      <c r="G12">
        <f>CORREL(C6:C1343,D6:D1343)</f>
        <v>0.19838753185561009</v>
      </c>
    </row>
    <row r="13" spans="2:9" x14ac:dyDescent="0.25">
      <c r="C13" s="3">
        <v>9.25</v>
      </c>
      <c r="D13" s="13">
        <v>18204</v>
      </c>
    </row>
    <row r="14" spans="2:9" x14ac:dyDescent="0.25">
      <c r="C14" s="3">
        <v>9.94</v>
      </c>
      <c r="D14" s="13">
        <v>16016</v>
      </c>
      <c r="G14" t="s">
        <v>106</v>
      </c>
    </row>
    <row r="15" spans="2:9" x14ac:dyDescent="0.25">
      <c r="C15" s="3">
        <v>8.61</v>
      </c>
      <c r="D15" s="13">
        <v>72308</v>
      </c>
      <c r="G15" t="s">
        <v>107</v>
      </c>
    </row>
    <row r="16" spans="2:9" ht="15.75" thickBot="1" x14ac:dyDescent="0.3">
      <c r="C16" s="3">
        <v>8.74</v>
      </c>
      <c r="D16" s="13">
        <v>6803</v>
      </c>
    </row>
    <row r="17" spans="3:22" x14ac:dyDescent="0.25">
      <c r="C17" s="3">
        <v>8.76</v>
      </c>
      <c r="D17" s="13">
        <v>69522</v>
      </c>
      <c r="G17" s="70" t="s">
        <v>108</v>
      </c>
      <c r="H17" s="71"/>
      <c r="I17" s="71"/>
      <c r="J17" s="71"/>
      <c r="K17" s="71"/>
      <c r="L17" s="71"/>
      <c r="M17" s="71"/>
      <c r="N17" s="71"/>
      <c r="O17" s="71"/>
      <c r="P17" s="71"/>
      <c r="Q17" s="71"/>
      <c r="R17" s="71"/>
      <c r="S17" s="71"/>
      <c r="T17" s="71"/>
      <c r="U17" s="71"/>
      <c r="V17" s="72"/>
    </row>
    <row r="18" spans="3:22" x14ac:dyDescent="0.25">
      <c r="C18" s="3">
        <v>11.47</v>
      </c>
      <c r="D18" s="13">
        <v>4567</v>
      </c>
      <c r="G18" s="73"/>
      <c r="H18" s="74"/>
      <c r="I18" s="74"/>
      <c r="J18" s="74"/>
      <c r="K18" s="74"/>
      <c r="L18" s="74"/>
      <c r="M18" s="74"/>
      <c r="N18" s="74"/>
      <c r="O18" s="74"/>
      <c r="P18" s="74"/>
      <c r="Q18" s="74"/>
      <c r="R18" s="74"/>
      <c r="S18" s="74"/>
      <c r="T18" s="74"/>
      <c r="U18" s="74"/>
      <c r="V18" s="75"/>
    </row>
    <row r="19" spans="3:22" x14ac:dyDescent="0.25">
      <c r="C19" s="3">
        <v>13.27</v>
      </c>
      <c r="D19" s="13">
        <v>27727</v>
      </c>
      <c r="G19" s="73"/>
      <c r="H19" s="74"/>
      <c r="I19" s="74"/>
      <c r="J19" s="74"/>
      <c r="K19" s="74"/>
      <c r="L19" s="74"/>
      <c r="M19" s="74"/>
      <c r="N19" s="74"/>
      <c r="O19" s="74"/>
      <c r="P19" s="74"/>
      <c r="Q19" s="74"/>
      <c r="R19" s="74"/>
      <c r="S19" s="74"/>
      <c r="T19" s="74"/>
      <c r="U19" s="74"/>
      <c r="V19" s="75"/>
    </row>
    <row r="20" spans="3:22" ht="15.75" thickBot="1" x14ac:dyDescent="0.3">
      <c r="C20" s="3">
        <v>14.04</v>
      </c>
      <c r="D20" s="13">
        <v>99029</v>
      </c>
      <c r="G20" s="76"/>
      <c r="H20" s="77"/>
      <c r="I20" s="77"/>
      <c r="J20" s="77"/>
      <c r="K20" s="77"/>
      <c r="L20" s="77"/>
      <c r="M20" s="77"/>
      <c r="N20" s="77"/>
      <c r="O20" s="77"/>
      <c r="P20" s="77"/>
      <c r="Q20" s="77"/>
      <c r="R20" s="77"/>
      <c r="S20" s="77"/>
      <c r="T20" s="77"/>
      <c r="U20" s="77"/>
      <c r="V20" s="78"/>
    </row>
    <row r="21" spans="3:22" x14ac:dyDescent="0.25">
      <c r="C21" s="3">
        <v>8.1999999999999993</v>
      </c>
      <c r="D21" s="13">
        <v>4593</v>
      </c>
    </row>
    <row r="22" spans="3:22" x14ac:dyDescent="0.25">
      <c r="C22" s="3">
        <v>10.26</v>
      </c>
      <c r="D22" s="13">
        <v>26993</v>
      </c>
    </row>
    <row r="23" spans="3:22" x14ac:dyDescent="0.25">
      <c r="C23" s="3">
        <v>7.95</v>
      </c>
      <c r="D23" s="13">
        <v>5988</v>
      </c>
    </row>
    <row r="24" spans="3:22" x14ac:dyDescent="0.25">
      <c r="C24" s="3">
        <v>13.43</v>
      </c>
      <c r="D24" s="13">
        <v>26506</v>
      </c>
    </row>
    <row r="25" spans="3:22" x14ac:dyDescent="0.25">
      <c r="C25" s="3">
        <v>11.77</v>
      </c>
      <c r="D25" s="13">
        <v>92094</v>
      </c>
    </row>
    <row r="26" spans="3:22" x14ac:dyDescent="0.25">
      <c r="C26" s="3">
        <v>12</v>
      </c>
      <c r="D26" s="13">
        <v>33072</v>
      </c>
    </row>
    <row r="27" spans="3:22" x14ac:dyDescent="0.25">
      <c r="C27" s="3">
        <v>10.8</v>
      </c>
      <c r="D27" s="13">
        <v>10374</v>
      </c>
    </row>
    <row r="28" spans="3:22" x14ac:dyDescent="0.25">
      <c r="C28" s="3">
        <v>11.37</v>
      </c>
      <c r="D28" s="13">
        <v>2843</v>
      </c>
    </row>
    <row r="29" spans="3:22" x14ac:dyDescent="0.25">
      <c r="C29" s="3">
        <v>10.64</v>
      </c>
      <c r="D29" s="13">
        <v>94255</v>
      </c>
    </row>
    <row r="30" spans="3:22" x14ac:dyDescent="0.25">
      <c r="C30" s="3">
        <v>9.34</v>
      </c>
      <c r="D30" s="13">
        <v>15510</v>
      </c>
    </row>
    <row r="31" spans="3:22" x14ac:dyDescent="0.25">
      <c r="C31" s="3">
        <v>9.24</v>
      </c>
      <c r="D31" s="13">
        <v>35003</v>
      </c>
    </row>
    <row r="32" spans="3:22" x14ac:dyDescent="0.25">
      <c r="C32" s="3">
        <v>7.7</v>
      </c>
      <c r="D32" s="13">
        <v>36130</v>
      </c>
    </row>
    <row r="33" spans="3:4" x14ac:dyDescent="0.25">
      <c r="C33" s="3">
        <v>10.92</v>
      </c>
      <c r="D33" s="13">
        <v>30672</v>
      </c>
    </row>
    <row r="34" spans="3:4" x14ac:dyDescent="0.25">
      <c r="C34" s="3">
        <v>5.8</v>
      </c>
      <c r="D34" s="13">
        <v>6938</v>
      </c>
    </row>
    <row r="35" spans="3:4" x14ac:dyDescent="0.25">
      <c r="C35" s="3">
        <v>12.1</v>
      </c>
      <c r="D35" s="13">
        <v>96778</v>
      </c>
    </row>
    <row r="36" spans="3:4" x14ac:dyDescent="0.25">
      <c r="C36" s="3">
        <v>11.87</v>
      </c>
      <c r="D36" s="13">
        <v>88964</v>
      </c>
    </row>
    <row r="37" spans="3:4" x14ac:dyDescent="0.25">
      <c r="C37" s="3">
        <v>8.77</v>
      </c>
      <c r="D37" s="13">
        <v>5495</v>
      </c>
    </row>
    <row r="38" spans="3:4" x14ac:dyDescent="0.25">
      <c r="C38" s="3">
        <v>9.5299999999999994</v>
      </c>
      <c r="D38" s="13">
        <v>11719</v>
      </c>
    </row>
    <row r="39" spans="3:4" x14ac:dyDescent="0.25">
      <c r="C39" s="3">
        <v>9.44</v>
      </c>
      <c r="D39" s="13">
        <v>34425</v>
      </c>
    </row>
    <row r="40" spans="3:4" x14ac:dyDescent="0.25">
      <c r="C40" s="3">
        <v>12.13</v>
      </c>
      <c r="D40" s="13">
        <v>127986</v>
      </c>
    </row>
    <row r="41" spans="3:4" x14ac:dyDescent="0.25">
      <c r="C41" s="3">
        <v>6.81</v>
      </c>
      <c r="D41" s="13">
        <v>4064</v>
      </c>
    </row>
    <row r="42" spans="3:4" x14ac:dyDescent="0.25">
      <c r="C42" s="3">
        <v>10.99</v>
      </c>
      <c r="D42" s="13">
        <v>39030</v>
      </c>
    </row>
    <row r="43" spans="3:4" x14ac:dyDescent="0.25">
      <c r="C43" s="3">
        <v>6.93</v>
      </c>
      <c r="D43" s="13">
        <v>5756</v>
      </c>
    </row>
    <row r="44" spans="3:4" x14ac:dyDescent="0.25">
      <c r="C44" s="3">
        <v>12.22</v>
      </c>
      <c r="D44" s="13">
        <v>99436</v>
      </c>
    </row>
    <row r="45" spans="3:4" x14ac:dyDescent="0.25">
      <c r="C45" s="3">
        <v>13.3</v>
      </c>
      <c r="D45" s="13">
        <v>120433</v>
      </c>
    </row>
    <row r="46" spans="3:4" x14ac:dyDescent="0.25">
      <c r="C46" s="3">
        <v>8.8699999999999992</v>
      </c>
      <c r="D46" s="13">
        <v>7615</v>
      </c>
    </row>
    <row r="47" spans="3:4" x14ac:dyDescent="0.25">
      <c r="C47" s="3">
        <v>12.21</v>
      </c>
      <c r="D47" s="13">
        <v>12374</v>
      </c>
    </row>
    <row r="48" spans="3:4" x14ac:dyDescent="0.25">
      <c r="C48" s="3">
        <v>7.26</v>
      </c>
      <c r="D48" s="13">
        <v>15681</v>
      </c>
    </row>
    <row r="49" spans="3:4" x14ac:dyDescent="0.25">
      <c r="C49" s="3">
        <v>10.27</v>
      </c>
      <c r="D49" s="13">
        <v>15784</v>
      </c>
    </row>
    <row r="50" spans="3:4" x14ac:dyDescent="0.25">
      <c r="C50" s="3">
        <v>12.35</v>
      </c>
      <c r="D50" s="13">
        <v>15199</v>
      </c>
    </row>
    <row r="51" spans="3:4" x14ac:dyDescent="0.25">
      <c r="C51" s="3">
        <v>12.43</v>
      </c>
      <c r="D51" s="13">
        <v>51576</v>
      </c>
    </row>
    <row r="52" spans="3:4" x14ac:dyDescent="0.25">
      <c r="C52" s="3">
        <v>12.89</v>
      </c>
      <c r="D52" s="13">
        <v>8483</v>
      </c>
    </row>
    <row r="53" spans="3:4" x14ac:dyDescent="0.25">
      <c r="C53" s="3">
        <v>11.59</v>
      </c>
      <c r="D53" s="13">
        <v>8892</v>
      </c>
    </row>
    <row r="54" spans="3:4" x14ac:dyDescent="0.25">
      <c r="C54" s="3">
        <v>8.18</v>
      </c>
      <c r="D54" s="13">
        <v>31575</v>
      </c>
    </row>
    <row r="55" spans="3:4" x14ac:dyDescent="0.25">
      <c r="C55" s="3">
        <v>11.73</v>
      </c>
      <c r="D55" s="13">
        <v>96773</v>
      </c>
    </row>
    <row r="56" spans="3:4" x14ac:dyDescent="0.25">
      <c r="C56" s="3">
        <v>11.88</v>
      </c>
      <c r="D56" s="13">
        <v>5528</v>
      </c>
    </row>
    <row r="57" spans="3:4" x14ac:dyDescent="0.25">
      <c r="C57" s="3">
        <v>11.21</v>
      </c>
      <c r="D57" s="13">
        <v>8950</v>
      </c>
    </row>
    <row r="58" spans="3:4" x14ac:dyDescent="0.25">
      <c r="C58" s="3">
        <v>9.33</v>
      </c>
      <c r="D58" s="13">
        <v>58921</v>
      </c>
    </row>
    <row r="59" spans="3:4" x14ac:dyDescent="0.25">
      <c r="C59" s="3">
        <v>11.48</v>
      </c>
      <c r="D59" s="13">
        <v>94356</v>
      </c>
    </row>
    <row r="60" spans="3:4" x14ac:dyDescent="0.25">
      <c r="C60" s="3">
        <v>9.56</v>
      </c>
      <c r="D60" s="13">
        <v>20149</v>
      </c>
    </row>
    <row r="61" spans="3:4" x14ac:dyDescent="0.25">
      <c r="C61" s="3">
        <v>12.32</v>
      </c>
      <c r="D61" s="13">
        <v>118741</v>
      </c>
    </row>
    <row r="62" spans="3:4" x14ac:dyDescent="0.25">
      <c r="C62" s="3">
        <v>10.61</v>
      </c>
      <c r="D62" s="13">
        <v>34018</v>
      </c>
    </row>
    <row r="63" spans="3:4" x14ac:dyDescent="0.25">
      <c r="C63" s="3">
        <v>10.56</v>
      </c>
      <c r="D63" s="13">
        <v>85758</v>
      </c>
    </row>
    <row r="64" spans="3:4" x14ac:dyDescent="0.25">
      <c r="C64" s="3">
        <v>7.63</v>
      </c>
      <c r="D64" s="13">
        <v>58112</v>
      </c>
    </row>
    <row r="65" spans="3:4" x14ac:dyDescent="0.25">
      <c r="C65" s="3">
        <v>12.44</v>
      </c>
      <c r="D65" s="13">
        <v>14974</v>
      </c>
    </row>
    <row r="66" spans="3:4" x14ac:dyDescent="0.25">
      <c r="C66" s="3">
        <v>9.1199999999999992</v>
      </c>
      <c r="D66" s="13">
        <v>21516</v>
      </c>
    </row>
    <row r="67" spans="3:4" x14ac:dyDescent="0.25">
      <c r="C67" s="3">
        <v>11.22</v>
      </c>
      <c r="D67" s="13">
        <v>11262</v>
      </c>
    </row>
    <row r="68" spans="3:4" x14ac:dyDescent="0.25">
      <c r="C68" s="3">
        <v>8.23</v>
      </c>
      <c r="D68" s="13">
        <v>75417</v>
      </c>
    </row>
    <row r="69" spans="3:4" x14ac:dyDescent="0.25">
      <c r="C69" s="3">
        <v>8.64</v>
      </c>
      <c r="D69" s="13">
        <v>10334</v>
      </c>
    </row>
    <row r="70" spans="3:4" x14ac:dyDescent="0.25">
      <c r="C70" s="3">
        <v>7.47</v>
      </c>
      <c r="D70" s="13">
        <v>36779</v>
      </c>
    </row>
    <row r="71" spans="3:4" x14ac:dyDescent="0.25">
      <c r="C71" s="3">
        <v>9.6300000000000008</v>
      </c>
      <c r="D71" s="13">
        <v>4358</v>
      </c>
    </row>
    <row r="72" spans="3:4" x14ac:dyDescent="0.25">
      <c r="C72" s="3">
        <v>13.03</v>
      </c>
      <c r="D72" s="13">
        <v>35588</v>
      </c>
    </row>
    <row r="73" spans="3:4" x14ac:dyDescent="0.25">
      <c r="C73" s="3">
        <v>8.77</v>
      </c>
      <c r="D73" s="13">
        <v>15973</v>
      </c>
    </row>
    <row r="74" spans="3:4" x14ac:dyDescent="0.25">
      <c r="C74" s="3">
        <v>12.06</v>
      </c>
      <c r="D74" s="13">
        <v>14800</v>
      </c>
    </row>
    <row r="75" spans="3:4" x14ac:dyDescent="0.25">
      <c r="C75" s="3">
        <v>7.99</v>
      </c>
      <c r="D75" s="13">
        <v>44158</v>
      </c>
    </row>
    <row r="76" spans="3:4" x14ac:dyDescent="0.25">
      <c r="C76" s="3">
        <v>8.25</v>
      </c>
      <c r="D76" s="13">
        <v>41444</v>
      </c>
    </row>
    <row r="77" spans="3:4" x14ac:dyDescent="0.25">
      <c r="C77" s="3">
        <v>9.5</v>
      </c>
      <c r="D77" s="13">
        <v>16999</v>
      </c>
    </row>
    <row r="78" spans="3:4" x14ac:dyDescent="0.25">
      <c r="C78" s="3">
        <v>9.3699999999999992</v>
      </c>
      <c r="D78" s="13">
        <v>29354</v>
      </c>
    </row>
    <row r="79" spans="3:4" x14ac:dyDescent="0.25">
      <c r="C79" s="3">
        <v>10.67</v>
      </c>
      <c r="D79" s="13">
        <v>29867</v>
      </c>
    </row>
    <row r="80" spans="3:4" x14ac:dyDescent="0.25">
      <c r="C80" s="3">
        <v>9.1300000000000008</v>
      </c>
      <c r="D80" s="13">
        <v>19317</v>
      </c>
    </row>
    <row r="81" spans="3:4" x14ac:dyDescent="0.25">
      <c r="C81" s="3">
        <v>11.34</v>
      </c>
      <c r="D81" s="13">
        <v>28392</v>
      </c>
    </row>
    <row r="82" spans="3:4" x14ac:dyDescent="0.25">
      <c r="C82" s="3">
        <v>9.86</v>
      </c>
      <c r="D82" s="13">
        <v>9869</v>
      </c>
    </row>
    <row r="83" spans="3:4" x14ac:dyDescent="0.25">
      <c r="C83" s="3">
        <v>11.84</v>
      </c>
      <c r="D83" s="13">
        <v>3831</v>
      </c>
    </row>
    <row r="84" spans="3:4" x14ac:dyDescent="0.25">
      <c r="C84" s="3">
        <v>13.27</v>
      </c>
      <c r="D84" s="13">
        <v>6888</v>
      </c>
    </row>
    <row r="85" spans="3:4" x14ac:dyDescent="0.25">
      <c r="C85" s="3">
        <v>10.99</v>
      </c>
      <c r="D85" s="13">
        <v>16428</v>
      </c>
    </row>
    <row r="86" spans="3:4" x14ac:dyDescent="0.25">
      <c r="C86" s="3">
        <v>8.9600000000000009</v>
      </c>
      <c r="D86" s="13">
        <v>11103</v>
      </c>
    </row>
    <row r="87" spans="3:4" x14ac:dyDescent="0.25">
      <c r="C87" s="3">
        <v>12.76</v>
      </c>
      <c r="D87" s="13">
        <v>19838</v>
      </c>
    </row>
    <row r="88" spans="3:4" x14ac:dyDescent="0.25">
      <c r="C88" s="3">
        <v>12.54</v>
      </c>
      <c r="D88" s="13">
        <v>92913</v>
      </c>
    </row>
    <row r="89" spans="3:4" x14ac:dyDescent="0.25">
      <c r="C89" s="3">
        <v>13.74</v>
      </c>
      <c r="D89" s="13">
        <v>27584</v>
      </c>
    </row>
    <row r="90" spans="3:4" x14ac:dyDescent="0.25">
      <c r="C90" s="3">
        <v>11.6</v>
      </c>
      <c r="D90" s="13">
        <v>99591</v>
      </c>
    </row>
    <row r="91" spans="3:4" x14ac:dyDescent="0.25">
      <c r="C91" s="3">
        <v>7.63</v>
      </c>
      <c r="D91" s="13">
        <v>52746</v>
      </c>
    </row>
    <row r="92" spans="3:4" x14ac:dyDescent="0.25">
      <c r="C92" s="3">
        <v>10.39</v>
      </c>
      <c r="D92" s="13">
        <v>108947</v>
      </c>
    </row>
    <row r="93" spans="3:4" x14ac:dyDescent="0.25">
      <c r="C93" s="3">
        <v>9.07</v>
      </c>
      <c r="D93" s="13">
        <v>27683</v>
      </c>
    </row>
    <row r="94" spans="3:4" x14ac:dyDescent="0.25">
      <c r="C94" s="3">
        <v>9.25</v>
      </c>
      <c r="D94" s="13">
        <v>20067</v>
      </c>
    </row>
    <row r="95" spans="3:4" x14ac:dyDescent="0.25">
      <c r="C95" s="3">
        <v>8.99</v>
      </c>
      <c r="D95" s="13">
        <v>27706</v>
      </c>
    </row>
    <row r="96" spans="3:4" x14ac:dyDescent="0.25">
      <c r="C96" s="3">
        <v>13.16</v>
      </c>
      <c r="D96" s="13">
        <v>5067</v>
      </c>
    </row>
    <row r="97" spans="3:4" x14ac:dyDescent="0.25">
      <c r="C97" s="3">
        <v>8.26</v>
      </c>
      <c r="D97" s="13">
        <v>27355</v>
      </c>
    </row>
    <row r="98" spans="3:4" x14ac:dyDescent="0.25">
      <c r="C98" s="3">
        <v>9.94</v>
      </c>
      <c r="D98" s="13">
        <v>75462</v>
      </c>
    </row>
    <row r="99" spans="3:4" x14ac:dyDescent="0.25">
      <c r="C99" s="3">
        <v>11.59</v>
      </c>
      <c r="D99" s="13">
        <v>14323</v>
      </c>
    </row>
    <row r="100" spans="3:4" x14ac:dyDescent="0.25">
      <c r="C100" s="3">
        <v>10.43</v>
      </c>
      <c r="D100" s="13">
        <v>118228</v>
      </c>
    </row>
    <row r="101" spans="3:4" x14ac:dyDescent="0.25">
      <c r="C101" s="3">
        <v>12.54</v>
      </c>
      <c r="D101" s="13">
        <v>9417</v>
      </c>
    </row>
    <row r="102" spans="3:4" x14ac:dyDescent="0.25">
      <c r="C102" s="3">
        <v>10.27</v>
      </c>
      <c r="D102" s="13">
        <v>30263</v>
      </c>
    </row>
    <row r="103" spans="3:4" x14ac:dyDescent="0.25">
      <c r="C103" s="3">
        <v>12.76</v>
      </c>
      <c r="D103" s="13">
        <v>25566</v>
      </c>
    </row>
    <row r="104" spans="3:4" x14ac:dyDescent="0.25">
      <c r="C104" s="3">
        <v>6.65</v>
      </c>
      <c r="D104" s="13">
        <v>56032</v>
      </c>
    </row>
    <row r="105" spans="3:4" x14ac:dyDescent="0.25">
      <c r="C105" s="3">
        <v>6.43</v>
      </c>
      <c r="D105" s="13">
        <v>39552</v>
      </c>
    </row>
    <row r="106" spans="3:4" x14ac:dyDescent="0.25">
      <c r="C106" s="3">
        <v>10.53</v>
      </c>
      <c r="D106" s="13">
        <v>15465</v>
      </c>
    </row>
    <row r="107" spans="3:4" x14ac:dyDescent="0.25">
      <c r="C107" s="3">
        <v>8.49</v>
      </c>
      <c r="D107" s="13">
        <v>9113</v>
      </c>
    </row>
    <row r="108" spans="3:4" x14ac:dyDescent="0.25">
      <c r="C108" s="3">
        <v>10.039999999999999</v>
      </c>
      <c r="D108" s="13">
        <v>53362</v>
      </c>
    </row>
    <row r="109" spans="3:4" x14ac:dyDescent="0.25">
      <c r="C109" s="3">
        <v>9.9700000000000006</v>
      </c>
      <c r="D109" s="13">
        <v>77355</v>
      </c>
    </row>
    <row r="110" spans="3:4" x14ac:dyDescent="0.25">
      <c r="C110" s="3">
        <v>9.17</v>
      </c>
      <c r="D110" s="13">
        <v>12510</v>
      </c>
    </row>
    <row r="111" spans="3:4" x14ac:dyDescent="0.25">
      <c r="C111" s="3">
        <v>9.34</v>
      </c>
      <c r="D111" s="13">
        <v>43901</v>
      </c>
    </row>
    <row r="112" spans="3:4" x14ac:dyDescent="0.25">
      <c r="C112" s="3">
        <v>9.4700000000000006</v>
      </c>
      <c r="D112" s="13">
        <v>5829</v>
      </c>
    </row>
    <row r="113" spans="3:4" x14ac:dyDescent="0.25">
      <c r="C113" s="3">
        <v>10.29</v>
      </c>
      <c r="D113" s="13">
        <v>9693</v>
      </c>
    </row>
    <row r="114" spans="3:4" x14ac:dyDescent="0.25">
      <c r="C114" s="3">
        <v>9.31</v>
      </c>
      <c r="D114" s="13">
        <v>7168</v>
      </c>
    </row>
    <row r="115" spans="3:4" x14ac:dyDescent="0.25">
      <c r="C115" s="3">
        <v>11.7</v>
      </c>
      <c r="D115" s="13">
        <v>117639</v>
      </c>
    </row>
    <row r="116" spans="3:4" x14ac:dyDescent="0.25">
      <c r="C116" s="3">
        <v>11.21</v>
      </c>
      <c r="D116" s="13">
        <v>27063</v>
      </c>
    </row>
    <row r="117" spans="3:4" x14ac:dyDescent="0.25">
      <c r="C117" s="3">
        <v>9.9</v>
      </c>
      <c r="D117" s="13">
        <v>29703</v>
      </c>
    </row>
    <row r="118" spans="3:4" x14ac:dyDescent="0.25">
      <c r="C118" s="3">
        <v>10.27</v>
      </c>
      <c r="D118" s="13">
        <v>11617</v>
      </c>
    </row>
    <row r="119" spans="3:4" x14ac:dyDescent="0.25">
      <c r="C119" s="3">
        <v>11.91</v>
      </c>
      <c r="D119" s="13">
        <v>6012</v>
      </c>
    </row>
    <row r="120" spans="3:4" x14ac:dyDescent="0.25">
      <c r="C120" s="3">
        <v>10.74</v>
      </c>
      <c r="D120" s="13">
        <v>28721</v>
      </c>
    </row>
    <row r="121" spans="3:4" x14ac:dyDescent="0.25">
      <c r="C121" s="3">
        <v>9.5299999999999994</v>
      </c>
      <c r="D121" s="13">
        <v>75650</v>
      </c>
    </row>
    <row r="122" spans="3:4" x14ac:dyDescent="0.25">
      <c r="C122" s="3">
        <v>16.350000000000001</v>
      </c>
      <c r="D122" s="13">
        <v>28453</v>
      </c>
    </row>
    <row r="123" spans="3:4" x14ac:dyDescent="0.25">
      <c r="C123" s="3">
        <v>9.31</v>
      </c>
      <c r="D123" s="13">
        <v>47769</v>
      </c>
    </row>
    <row r="124" spans="3:4" x14ac:dyDescent="0.25">
      <c r="C124" s="3">
        <v>9.06</v>
      </c>
      <c r="D124" s="13">
        <v>21503</v>
      </c>
    </row>
    <row r="125" spans="3:4" x14ac:dyDescent="0.25">
      <c r="C125" s="3">
        <v>7.79</v>
      </c>
      <c r="D125" s="13">
        <v>16716</v>
      </c>
    </row>
    <row r="126" spans="3:4" x14ac:dyDescent="0.25">
      <c r="C126" s="3">
        <v>12.37</v>
      </c>
      <c r="D126" s="13">
        <v>19351</v>
      </c>
    </row>
    <row r="127" spans="3:4" x14ac:dyDescent="0.25">
      <c r="C127" s="3">
        <v>7.92</v>
      </c>
      <c r="D127" s="13">
        <v>4264</v>
      </c>
    </row>
    <row r="128" spans="3:4" x14ac:dyDescent="0.25">
      <c r="C128" s="3">
        <v>9.66</v>
      </c>
      <c r="D128" s="13">
        <v>5644</v>
      </c>
    </row>
    <row r="129" spans="3:4" x14ac:dyDescent="0.25">
      <c r="C129" s="3">
        <v>10.45</v>
      </c>
      <c r="D129" s="13">
        <v>98891</v>
      </c>
    </row>
    <row r="130" spans="3:4" x14ac:dyDescent="0.25">
      <c r="C130" s="3">
        <v>11.3</v>
      </c>
      <c r="D130" s="13">
        <v>25288</v>
      </c>
    </row>
    <row r="131" spans="3:4" x14ac:dyDescent="0.25">
      <c r="C131" s="3">
        <v>9.6</v>
      </c>
      <c r="D131" s="13">
        <v>8463</v>
      </c>
    </row>
    <row r="132" spans="3:4" x14ac:dyDescent="0.25">
      <c r="C132" s="3">
        <v>9.43</v>
      </c>
      <c r="D132" s="13">
        <v>42703</v>
      </c>
    </row>
    <row r="133" spans="3:4" x14ac:dyDescent="0.25">
      <c r="C133" s="3">
        <v>12.47</v>
      </c>
      <c r="D133" s="13">
        <v>24086</v>
      </c>
    </row>
    <row r="134" spans="3:4" x14ac:dyDescent="0.25">
      <c r="C134" s="3">
        <v>5.92</v>
      </c>
      <c r="D134" s="13">
        <v>81835</v>
      </c>
    </row>
    <row r="135" spans="3:4" x14ac:dyDescent="0.25">
      <c r="C135" s="3">
        <v>11.57</v>
      </c>
      <c r="D135" s="13">
        <v>15206</v>
      </c>
    </row>
    <row r="136" spans="3:4" x14ac:dyDescent="0.25">
      <c r="C136" s="3">
        <v>8.83</v>
      </c>
      <c r="D136" s="13">
        <v>32039</v>
      </c>
    </row>
    <row r="137" spans="3:4" x14ac:dyDescent="0.25">
      <c r="C137" s="3">
        <v>7.35</v>
      </c>
      <c r="D137" s="13">
        <v>34041</v>
      </c>
    </row>
    <row r="138" spans="3:4" x14ac:dyDescent="0.25">
      <c r="C138" s="3">
        <v>11.97</v>
      </c>
      <c r="D138" s="13">
        <v>27909</v>
      </c>
    </row>
    <row r="139" spans="3:4" x14ac:dyDescent="0.25">
      <c r="C139" s="3">
        <v>8.52</v>
      </c>
      <c r="D139" s="13">
        <v>4081</v>
      </c>
    </row>
    <row r="140" spans="3:4" x14ac:dyDescent="0.25">
      <c r="C140" s="3">
        <v>9.6</v>
      </c>
      <c r="D140" s="13">
        <v>6143</v>
      </c>
    </row>
    <row r="141" spans="3:4" x14ac:dyDescent="0.25">
      <c r="C141" s="3">
        <v>9.35</v>
      </c>
      <c r="D141" s="13">
        <v>5389</v>
      </c>
    </row>
    <row r="142" spans="3:4" x14ac:dyDescent="0.25">
      <c r="C142" s="3">
        <v>11.37</v>
      </c>
      <c r="D142" s="13">
        <v>3154</v>
      </c>
    </row>
    <row r="143" spans="3:4" x14ac:dyDescent="0.25">
      <c r="C143" s="3">
        <v>8.39</v>
      </c>
      <c r="D143" s="13">
        <v>5114</v>
      </c>
    </row>
    <row r="144" spans="3:4" x14ac:dyDescent="0.25">
      <c r="C144" s="3">
        <v>10.63</v>
      </c>
      <c r="D144" s="13">
        <v>68307</v>
      </c>
    </row>
    <row r="145" spans="3:4" x14ac:dyDescent="0.25">
      <c r="C145" s="3">
        <v>12</v>
      </c>
      <c r="D145" s="13">
        <v>5417</v>
      </c>
    </row>
    <row r="146" spans="3:4" x14ac:dyDescent="0.25">
      <c r="C146" s="3">
        <v>7.47</v>
      </c>
      <c r="D146" s="13">
        <v>68440</v>
      </c>
    </row>
    <row r="147" spans="3:4" x14ac:dyDescent="0.25">
      <c r="C147" s="3">
        <v>10.83</v>
      </c>
      <c r="D147" s="13">
        <v>8726</v>
      </c>
    </row>
    <row r="148" spans="3:4" x14ac:dyDescent="0.25">
      <c r="C148" s="3">
        <v>8.43</v>
      </c>
      <c r="D148" s="13">
        <v>47431</v>
      </c>
    </row>
    <row r="149" spans="3:4" x14ac:dyDescent="0.25">
      <c r="C149" s="3">
        <v>9.91</v>
      </c>
      <c r="D149" s="13">
        <v>45395</v>
      </c>
    </row>
    <row r="150" spans="3:4" x14ac:dyDescent="0.25">
      <c r="C150" s="3">
        <v>9.56</v>
      </c>
      <c r="D150" s="13">
        <v>51865</v>
      </c>
    </row>
    <row r="151" spans="3:4" x14ac:dyDescent="0.25">
      <c r="C151" s="3">
        <v>12.94</v>
      </c>
      <c r="D151" s="13">
        <v>12846</v>
      </c>
    </row>
    <row r="152" spans="3:4" x14ac:dyDescent="0.25">
      <c r="C152" s="3">
        <v>10.17</v>
      </c>
      <c r="D152" s="13">
        <v>101801</v>
      </c>
    </row>
    <row r="153" spans="3:4" x14ac:dyDescent="0.25">
      <c r="C153" s="3">
        <v>12.58</v>
      </c>
      <c r="D153" s="13">
        <v>24694</v>
      </c>
    </row>
    <row r="154" spans="3:4" x14ac:dyDescent="0.25">
      <c r="C154" s="3">
        <v>12.48</v>
      </c>
      <c r="D154" s="13">
        <v>27399</v>
      </c>
    </row>
    <row r="155" spans="3:4" x14ac:dyDescent="0.25">
      <c r="C155" s="3">
        <v>9.4700000000000006</v>
      </c>
      <c r="D155" s="13">
        <v>4606</v>
      </c>
    </row>
    <row r="156" spans="3:4" x14ac:dyDescent="0.25">
      <c r="C156" s="3">
        <v>8.0399999999999991</v>
      </c>
      <c r="D156" s="13">
        <v>12813</v>
      </c>
    </row>
    <row r="157" spans="3:4" x14ac:dyDescent="0.25">
      <c r="C157" s="3">
        <v>9.9</v>
      </c>
      <c r="D157" s="13">
        <v>19474</v>
      </c>
    </row>
    <row r="158" spans="3:4" x14ac:dyDescent="0.25">
      <c r="C158" s="3">
        <v>12.38</v>
      </c>
      <c r="D158" s="13">
        <v>15836</v>
      </c>
    </row>
    <row r="159" spans="3:4" x14ac:dyDescent="0.25">
      <c r="C159" s="3">
        <v>7.79</v>
      </c>
      <c r="D159" s="13">
        <v>49912</v>
      </c>
    </row>
    <row r="160" spans="3:4" x14ac:dyDescent="0.25">
      <c r="C160" s="3">
        <v>8.49</v>
      </c>
      <c r="D160" s="13">
        <v>17693</v>
      </c>
    </row>
    <row r="161" spans="3:4" x14ac:dyDescent="0.25">
      <c r="C161" s="3">
        <v>13.17</v>
      </c>
      <c r="D161" s="13">
        <v>17372</v>
      </c>
    </row>
    <row r="162" spans="3:4" x14ac:dyDescent="0.25">
      <c r="C162" s="3">
        <v>8.14</v>
      </c>
      <c r="D162" s="13">
        <v>53059</v>
      </c>
    </row>
    <row r="163" spans="3:4" x14ac:dyDescent="0.25">
      <c r="C163" s="3">
        <v>8.39</v>
      </c>
      <c r="D163" s="13">
        <v>38795</v>
      </c>
    </row>
    <row r="164" spans="3:4" x14ac:dyDescent="0.25">
      <c r="C164" s="3">
        <v>11.84</v>
      </c>
      <c r="D164" s="13">
        <v>92376</v>
      </c>
    </row>
    <row r="165" spans="3:4" x14ac:dyDescent="0.25">
      <c r="C165" s="3">
        <v>9.2799999999999994</v>
      </c>
      <c r="D165" s="13">
        <v>49373</v>
      </c>
    </row>
    <row r="166" spans="3:4" x14ac:dyDescent="0.25">
      <c r="C166" s="3">
        <v>8.8699999999999992</v>
      </c>
      <c r="D166" s="13">
        <v>53372</v>
      </c>
    </row>
    <row r="167" spans="3:4" x14ac:dyDescent="0.25">
      <c r="C167" s="3">
        <v>12.28</v>
      </c>
      <c r="D167" s="13">
        <v>90374</v>
      </c>
    </row>
    <row r="168" spans="3:4" x14ac:dyDescent="0.25">
      <c r="C168" s="3">
        <v>13.2</v>
      </c>
      <c r="D168" s="13">
        <v>26126</v>
      </c>
    </row>
    <row r="169" spans="3:4" x14ac:dyDescent="0.25">
      <c r="C169" s="3">
        <v>9.93</v>
      </c>
      <c r="D169" s="13">
        <v>12880</v>
      </c>
    </row>
    <row r="170" spans="3:4" x14ac:dyDescent="0.25">
      <c r="C170" s="3">
        <v>9.8800000000000008</v>
      </c>
      <c r="D170" s="13">
        <v>12570</v>
      </c>
    </row>
    <row r="171" spans="3:4" x14ac:dyDescent="0.25">
      <c r="C171" s="3">
        <v>9.4</v>
      </c>
      <c r="D171" s="13">
        <v>26018</v>
      </c>
    </row>
    <row r="172" spans="3:4" x14ac:dyDescent="0.25">
      <c r="C172" s="3">
        <v>12.33</v>
      </c>
      <c r="D172" s="13">
        <v>12077</v>
      </c>
    </row>
    <row r="173" spans="3:4" x14ac:dyDescent="0.25">
      <c r="C173" s="3">
        <v>11.05</v>
      </c>
      <c r="D173" s="13">
        <v>15322</v>
      </c>
    </row>
    <row r="174" spans="3:4" x14ac:dyDescent="0.25">
      <c r="C174" s="3">
        <v>10.61</v>
      </c>
      <c r="D174" s="13">
        <v>6798</v>
      </c>
    </row>
    <row r="175" spans="3:4" x14ac:dyDescent="0.25">
      <c r="C175" s="3">
        <v>6.3</v>
      </c>
      <c r="D175" s="13">
        <v>12070</v>
      </c>
    </row>
    <row r="176" spans="3:4" x14ac:dyDescent="0.25">
      <c r="C176" s="3">
        <v>13.82</v>
      </c>
      <c r="D176" s="13">
        <v>33513</v>
      </c>
    </row>
    <row r="177" spans="3:4" x14ac:dyDescent="0.25">
      <c r="C177" s="3">
        <v>10.1</v>
      </c>
      <c r="D177" s="13">
        <v>20292</v>
      </c>
    </row>
    <row r="178" spans="3:4" x14ac:dyDescent="0.25">
      <c r="C178" s="3">
        <v>5.32</v>
      </c>
      <c r="D178" s="13">
        <v>4237</v>
      </c>
    </row>
    <row r="179" spans="3:4" x14ac:dyDescent="0.25">
      <c r="C179" s="3">
        <v>11.6</v>
      </c>
      <c r="D179" s="13">
        <v>13115</v>
      </c>
    </row>
    <row r="180" spans="3:4" x14ac:dyDescent="0.25">
      <c r="C180" s="3">
        <v>11.12</v>
      </c>
      <c r="D180" s="13">
        <v>7139</v>
      </c>
    </row>
    <row r="181" spans="3:4" x14ac:dyDescent="0.25">
      <c r="C181" s="3">
        <v>12.57</v>
      </c>
      <c r="D181" s="13">
        <v>122061</v>
      </c>
    </row>
    <row r="182" spans="3:4" x14ac:dyDescent="0.25">
      <c r="C182" s="3">
        <v>9.2799999999999994</v>
      </c>
      <c r="D182" s="13">
        <v>16140</v>
      </c>
    </row>
    <row r="183" spans="3:4" x14ac:dyDescent="0.25">
      <c r="C183" s="3">
        <v>9.73</v>
      </c>
      <c r="D183" s="13">
        <v>26090</v>
      </c>
    </row>
    <row r="184" spans="3:4" x14ac:dyDescent="0.25">
      <c r="C184" s="3">
        <v>9.6300000000000008</v>
      </c>
      <c r="D184" s="13">
        <v>22058</v>
      </c>
    </row>
    <row r="185" spans="3:4" x14ac:dyDescent="0.25">
      <c r="C185" s="3">
        <v>11.05</v>
      </c>
      <c r="D185" s="13">
        <v>21346</v>
      </c>
    </row>
    <row r="186" spans="3:4" x14ac:dyDescent="0.25">
      <c r="C186" s="3">
        <v>9.5299999999999994</v>
      </c>
      <c r="D186" s="13">
        <v>29340</v>
      </c>
    </row>
    <row r="187" spans="3:4" x14ac:dyDescent="0.25">
      <c r="C187" s="3">
        <v>12.76</v>
      </c>
      <c r="D187" s="13">
        <v>4080</v>
      </c>
    </row>
    <row r="188" spans="3:4" x14ac:dyDescent="0.25">
      <c r="C188" s="3">
        <v>6.65</v>
      </c>
      <c r="D188" s="13">
        <v>10014</v>
      </c>
    </row>
    <row r="189" spans="3:4" x14ac:dyDescent="0.25">
      <c r="C189" s="3">
        <v>8.8000000000000007</v>
      </c>
      <c r="D189" s="13">
        <v>18549</v>
      </c>
    </row>
    <row r="190" spans="3:4" x14ac:dyDescent="0.25">
      <c r="C190" s="3">
        <v>10.23</v>
      </c>
      <c r="D190" s="13">
        <v>19329</v>
      </c>
    </row>
    <row r="191" spans="3:4" x14ac:dyDescent="0.25">
      <c r="C191" s="3">
        <v>13.97</v>
      </c>
      <c r="D191" s="13">
        <v>109383</v>
      </c>
    </row>
    <row r="192" spans="3:4" x14ac:dyDescent="0.25">
      <c r="C192" s="3">
        <v>9.9700000000000006</v>
      </c>
      <c r="D192" s="13">
        <v>9955</v>
      </c>
    </row>
    <row r="193" spans="3:4" x14ac:dyDescent="0.25">
      <c r="C193" s="3">
        <v>10.3</v>
      </c>
      <c r="D193" s="13">
        <v>13314</v>
      </c>
    </row>
    <row r="194" spans="3:4" x14ac:dyDescent="0.25">
      <c r="C194" s="3">
        <v>10.73</v>
      </c>
      <c r="D194" s="13">
        <v>16940</v>
      </c>
    </row>
    <row r="195" spans="3:4" x14ac:dyDescent="0.25">
      <c r="C195" s="3">
        <v>10.7</v>
      </c>
      <c r="D195" s="13">
        <v>12307</v>
      </c>
    </row>
    <row r="196" spans="3:4" x14ac:dyDescent="0.25">
      <c r="C196" s="3">
        <v>10.52</v>
      </c>
      <c r="D196" s="13">
        <v>31394</v>
      </c>
    </row>
    <row r="197" spans="3:4" x14ac:dyDescent="0.25">
      <c r="C197" s="3">
        <v>8.73</v>
      </c>
      <c r="D197" s="13">
        <v>12210</v>
      </c>
    </row>
    <row r="198" spans="3:4" x14ac:dyDescent="0.25">
      <c r="C198" s="3">
        <v>8.58</v>
      </c>
      <c r="D198" s="13">
        <v>5344</v>
      </c>
    </row>
    <row r="199" spans="3:4" x14ac:dyDescent="0.25">
      <c r="C199" s="3">
        <v>8.8699999999999992</v>
      </c>
      <c r="D199" s="13">
        <v>30111</v>
      </c>
    </row>
    <row r="200" spans="3:4" x14ac:dyDescent="0.25">
      <c r="C200" s="3">
        <v>11.48</v>
      </c>
      <c r="D200" s="13">
        <v>2844</v>
      </c>
    </row>
    <row r="201" spans="3:4" x14ac:dyDescent="0.25">
      <c r="C201" s="3">
        <v>10.199999999999999</v>
      </c>
      <c r="D201" s="13">
        <v>4099</v>
      </c>
    </row>
    <row r="202" spans="3:4" x14ac:dyDescent="0.25">
      <c r="C202" s="3">
        <v>10.93</v>
      </c>
      <c r="D202" s="13">
        <v>14124</v>
      </c>
    </row>
    <row r="203" spans="3:4" x14ac:dyDescent="0.25">
      <c r="C203" s="3">
        <v>9.5299999999999994</v>
      </c>
      <c r="D203" s="13">
        <v>21292</v>
      </c>
    </row>
    <row r="204" spans="3:4" x14ac:dyDescent="0.25">
      <c r="C204" s="3">
        <v>6.02</v>
      </c>
      <c r="D204" s="13">
        <v>24111</v>
      </c>
    </row>
    <row r="205" spans="3:4" x14ac:dyDescent="0.25">
      <c r="C205" s="3">
        <v>13.11</v>
      </c>
      <c r="D205" s="13">
        <v>37254</v>
      </c>
    </row>
    <row r="206" spans="3:4" x14ac:dyDescent="0.25">
      <c r="C206" s="3">
        <v>10.7</v>
      </c>
      <c r="D206" s="13">
        <v>5327</v>
      </c>
    </row>
    <row r="207" spans="3:4" x14ac:dyDescent="0.25">
      <c r="C207" s="3">
        <v>10.74</v>
      </c>
      <c r="D207" s="13">
        <v>22178</v>
      </c>
    </row>
    <row r="208" spans="3:4" x14ac:dyDescent="0.25">
      <c r="C208" s="3">
        <v>8.01</v>
      </c>
      <c r="D208" s="13">
        <v>32531</v>
      </c>
    </row>
    <row r="209" spans="3:4" x14ac:dyDescent="0.25">
      <c r="C209" s="3">
        <v>12.03</v>
      </c>
      <c r="D209" s="13">
        <v>92835</v>
      </c>
    </row>
    <row r="210" spans="3:4" x14ac:dyDescent="0.25">
      <c r="C210" s="3">
        <v>7.43</v>
      </c>
      <c r="D210" s="13">
        <v>17868</v>
      </c>
    </row>
    <row r="211" spans="3:4" x14ac:dyDescent="0.25">
      <c r="C211" s="3">
        <v>9.6300000000000008</v>
      </c>
      <c r="D211" s="13">
        <v>10844</v>
      </c>
    </row>
    <row r="212" spans="3:4" x14ac:dyDescent="0.25">
      <c r="C212" s="3">
        <v>8.8000000000000007</v>
      </c>
      <c r="D212" s="13">
        <v>29358</v>
      </c>
    </row>
    <row r="213" spans="3:4" x14ac:dyDescent="0.25">
      <c r="C213" s="3">
        <v>9.25</v>
      </c>
      <c r="D213" s="13">
        <v>52460</v>
      </c>
    </row>
    <row r="214" spans="3:4" x14ac:dyDescent="0.25">
      <c r="C214" s="3">
        <v>10.6</v>
      </c>
      <c r="D214" s="13">
        <v>34702</v>
      </c>
    </row>
    <row r="215" spans="3:4" x14ac:dyDescent="0.25">
      <c r="C215" s="3">
        <v>13.74</v>
      </c>
      <c r="D215" s="13">
        <v>16525</v>
      </c>
    </row>
    <row r="216" spans="3:4" x14ac:dyDescent="0.25">
      <c r="C216" s="3">
        <v>11</v>
      </c>
      <c r="D216" s="13">
        <v>4950</v>
      </c>
    </row>
    <row r="217" spans="3:4" x14ac:dyDescent="0.25">
      <c r="C217" s="3">
        <v>10.29</v>
      </c>
      <c r="D217" s="13">
        <v>20407</v>
      </c>
    </row>
    <row r="218" spans="3:4" x14ac:dyDescent="0.25">
      <c r="C218" s="3">
        <v>9.5</v>
      </c>
      <c r="D218" s="13">
        <v>8844</v>
      </c>
    </row>
    <row r="219" spans="3:4" x14ac:dyDescent="0.25">
      <c r="C219" s="3">
        <v>8.91</v>
      </c>
      <c r="D219" s="13">
        <v>12507</v>
      </c>
    </row>
    <row r="220" spans="3:4" x14ac:dyDescent="0.25">
      <c r="C220" s="3">
        <v>10.3</v>
      </c>
      <c r="D220" s="13">
        <v>21300</v>
      </c>
    </row>
    <row r="221" spans="3:4" x14ac:dyDescent="0.25">
      <c r="C221" s="3">
        <v>12.37</v>
      </c>
      <c r="D221" s="13">
        <v>18429</v>
      </c>
    </row>
    <row r="222" spans="3:4" x14ac:dyDescent="0.25">
      <c r="C222" s="3">
        <v>8.8699999999999992</v>
      </c>
      <c r="D222" s="13">
        <v>25889</v>
      </c>
    </row>
    <row r="223" spans="3:4" x14ac:dyDescent="0.25">
      <c r="C223" s="3">
        <v>7.7</v>
      </c>
      <c r="D223" s="13">
        <v>6209</v>
      </c>
    </row>
    <row r="224" spans="3:4" x14ac:dyDescent="0.25">
      <c r="C224" s="3">
        <v>9.9700000000000006</v>
      </c>
      <c r="D224" s="13">
        <v>8482</v>
      </c>
    </row>
    <row r="225" spans="3:4" x14ac:dyDescent="0.25">
      <c r="C225" s="3">
        <v>7.74</v>
      </c>
      <c r="D225" s="13">
        <v>62704</v>
      </c>
    </row>
    <row r="226" spans="3:4" x14ac:dyDescent="0.25">
      <c r="C226" s="3">
        <v>11.23</v>
      </c>
      <c r="D226" s="13">
        <v>12531</v>
      </c>
    </row>
    <row r="227" spans="3:4" x14ac:dyDescent="0.25">
      <c r="C227" s="3">
        <v>11.08</v>
      </c>
      <c r="D227" s="13">
        <v>26412</v>
      </c>
    </row>
    <row r="228" spans="3:4" x14ac:dyDescent="0.25">
      <c r="C228" s="3">
        <v>10.27</v>
      </c>
      <c r="D228" s="13">
        <v>13134</v>
      </c>
    </row>
    <row r="229" spans="3:4" x14ac:dyDescent="0.25">
      <c r="C229" s="3">
        <v>11.6</v>
      </c>
      <c r="D229" s="13">
        <v>86949</v>
      </c>
    </row>
    <row r="230" spans="3:4" x14ac:dyDescent="0.25">
      <c r="C230" s="3">
        <v>8.2100000000000009</v>
      </c>
      <c r="D230" s="13">
        <v>48789</v>
      </c>
    </row>
    <row r="231" spans="3:4" x14ac:dyDescent="0.25">
      <c r="C231" s="3">
        <v>11.29</v>
      </c>
      <c r="D231" s="13">
        <v>29968</v>
      </c>
    </row>
    <row r="232" spans="3:4" x14ac:dyDescent="0.25">
      <c r="C232" s="3">
        <v>12.69</v>
      </c>
      <c r="D232" s="13">
        <v>6724</v>
      </c>
    </row>
    <row r="233" spans="3:4" x14ac:dyDescent="0.25">
      <c r="C233" s="3">
        <v>13.97</v>
      </c>
      <c r="D233" s="13">
        <v>60568</v>
      </c>
    </row>
    <row r="234" spans="3:4" x14ac:dyDescent="0.25">
      <c r="C234" s="3">
        <v>10.54</v>
      </c>
      <c r="D234" s="13">
        <v>18395</v>
      </c>
    </row>
    <row r="235" spans="3:4" x14ac:dyDescent="0.25">
      <c r="C235" s="3">
        <v>8.49</v>
      </c>
      <c r="D235" s="13">
        <v>23063</v>
      </c>
    </row>
    <row r="236" spans="3:4" x14ac:dyDescent="0.25">
      <c r="C236" s="3">
        <v>12.06</v>
      </c>
      <c r="D236" s="13">
        <v>18609</v>
      </c>
    </row>
    <row r="237" spans="3:4" x14ac:dyDescent="0.25">
      <c r="C237" s="3">
        <v>9.2799999999999994</v>
      </c>
      <c r="D237" s="13">
        <v>35003</v>
      </c>
    </row>
    <row r="238" spans="3:4" x14ac:dyDescent="0.25">
      <c r="C238" s="3">
        <v>5.93</v>
      </c>
      <c r="D238" s="13">
        <v>4319</v>
      </c>
    </row>
    <row r="239" spans="3:4" x14ac:dyDescent="0.25">
      <c r="C239" s="3">
        <v>9.17</v>
      </c>
      <c r="D239" s="13">
        <v>30835</v>
      </c>
    </row>
    <row r="240" spans="3:4" x14ac:dyDescent="0.25">
      <c r="C240" s="3">
        <v>8.17</v>
      </c>
      <c r="D240" s="13">
        <v>16775</v>
      </c>
    </row>
    <row r="241" spans="3:4" x14ac:dyDescent="0.25">
      <c r="C241" s="3">
        <v>7.41</v>
      </c>
      <c r="D241" s="13">
        <v>48611</v>
      </c>
    </row>
    <row r="242" spans="3:4" x14ac:dyDescent="0.25">
      <c r="C242" s="3">
        <v>8.91</v>
      </c>
      <c r="D242" s="13">
        <v>4039</v>
      </c>
    </row>
    <row r="243" spans="3:4" x14ac:dyDescent="0.25">
      <c r="C243" s="3">
        <v>12.8</v>
      </c>
      <c r="D243" s="13">
        <v>11158</v>
      </c>
    </row>
    <row r="244" spans="3:4" x14ac:dyDescent="0.25">
      <c r="C244" s="3">
        <v>9.69</v>
      </c>
      <c r="D244" s="13">
        <v>43382</v>
      </c>
    </row>
    <row r="245" spans="3:4" x14ac:dyDescent="0.25">
      <c r="C245" s="3">
        <v>12.69</v>
      </c>
      <c r="D245" s="13">
        <v>17882</v>
      </c>
    </row>
    <row r="246" spans="3:4" x14ac:dyDescent="0.25">
      <c r="C246" s="3">
        <v>12.22</v>
      </c>
      <c r="D246" s="13">
        <v>96279</v>
      </c>
    </row>
    <row r="247" spans="3:4" x14ac:dyDescent="0.25">
      <c r="C247" s="3">
        <v>7.38</v>
      </c>
      <c r="D247" s="13">
        <v>13385</v>
      </c>
    </row>
    <row r="248" spans="3:4" x14ac:dyDescent="0.25">
      <c r="C248" s="3">
        <v>8.93</v>
      </c>
      <c r="D248" s="13">
        <v>87900</v>
      </c>
    </row>
    <row r="249" spans="3:4" x14ac:dyDescent="0.25">
      <c r="C249" s="3">
        <v>11.77</v>
      </c>
      <c r="D249" s="13">
        <v>17992</v>
      </c>
    </row>
    <row r="250" spans="3:4" x14ac:dyDescent="0.25">
      <c r="C250" s="3">
        <v>9.25</v>
      </c>
      <c r="D250" s="13">
        <v>73808</v>
      </c>
    </row>
    <row r="251" spans="3:4" x14ac:dyDescent="0.25">
      <c r="C251" s="3">
        <v>10.01</v>
      </c>
      <c r="D251" s="13">
        <v>61191</v>
      </c>
    </row>
    <row r="252" spans="3:4" x14ac:dyDescent="0.25">
      <c r="C252" s="3">
        <v>12.69</v>
      </c>
      <c r="D252" s="13">
        <v>31622</v>
      </c>
    </row>
    <row r="253" spans="3:4" x14ac:dyDescent="0.25">
      <c r="C253" s="3">
        <v>11.95</v>
      </c>
      <c r="D253" s="13">
        <v>4967</v>
      </c>
    </row>
    <row r="254" spans="3:4" x14ac:dyDescent="0.25">
      <c r="C254" s="3">
        <v>6.97</v>
      </c>
      <c r="D254" s="13">
        <v>4580</v>
      </c>
    </row>
    <row r="255" spans="3:4" x14ac:dyDescent="0.25">
      <c r="C255" s="3">
        <v>9.66</v>
      </c>
      <c r="D255" s="13">
        <v>10101</v>
      </c>
    </row>
    <row r="256" spans="3:4" x14ac:dyDescent="0.25">
      <c r="C256" s="3">
        <v>5.76</v>
      </c>
      <c r="D256" s="13">
        <v>32074</v>
      </c>
    </row>
    <row r="257" spans="3:4" x14ac:dyDescent="0.25">
      <c r="C257" s="3">
        <v>10.73</v>
      </c>
      <c r="D257" s="13">
        <v>118263</v>
      </c>
    </row>
    <row r="258" spans="3:4" x14ac:dyDescent="0.25">
      <c r="C258" s="3">
        <v>11.4</v>
      </c>
      <c r="D258" s="13">
        <v>110652</v>
      </c>
    </row>
    <row r="259" spans="3:4" x14ac:dyDescent="0.25">
      <c r="C259" s="3">
        <v>10.1</v>
      </c>
      <c r="D259" s="13">
        <v>10652</v>
      </c>
    </row>
    <row r="260" spans="3:4" x14ac:dyDescent="0.25">
      <c r="C260" s="3">
        <v>10.61</v>
      </c>
      <c r="D260" s="13">
        <v>102743</v>
      </c>
    </row>
    <row r="261" spans="3:4" x14ac:dyDescent="0.25">
      <c r="C261" s="3">
        <v>8.4600000000000009</v>
      </c>
      <c r="D261" s="13">
        <v>32618</v>
      </c>
    </row>
    <row r="262" spans="3:4" x14ac:dyDescent="0.25">
      <c r="C262" s="3">
        <v>11.21</v>
      </c>
      <c r="D262" s="13">
        <v>109803</v>
      </c>
    </row>
    <row r="263" spans="3:4" x14ac:dyDescent="0.25">
      <c r="C263" s="3">
        <v>13.38</v>
      </c>
      <c r="D263" s="13">
        <v>13502</v>
      </c>
    </row>
    <row r="264" spans="3:4" x14ac:dyDescent="0.25">
      <c r="C264" s="3">
        <v>8.14</v>
      </c>
      <c r="D264" s="13">
        <v>28800</v>
      </c>
    </row>
    <row r="265" spans="3:4" x14ac:dyDescent="0.25">
      <c r="C265" s="3">
        <v>10.64</v>
      </c>
      <c r="D265" s="13">
        <v>84376</v>
      </c>
    </row>
    <row r="266" spans="3:4" x14ac:dyDescent="0.25">
      <c r="C266" s="3">
        <v>8.4</v>
      </c>
      <c r="D266" s="13">
        <v>29593</v>
      </c>
    </row>
    <row r="267" spans="3:4" x14ac:dyDescent="0.25">
      <c r="C267" s="3">
        <v>8.9499999999999993</v>
      </c>
      <c r="D267" s="13">
        <v>42713</v>
      </c>
    </row>
    <row r="268" spans="3:4" x14ac:dyDescent="0.25">
      <c r="C268" s="3">
        <v>8.11</v>
      </c>
      <c r="D268" s="13">
        <v>62175</v>
      </c>
    </row>
    <row r="269" spans="3:4" x14ac:dyDescent="0.25">
      <c r="C269" s="3">
        <v>12.32</v>
      </c>
      <c r="D269" s="13">
        <v>90549</v>
      </c>
    </row>
    <row r="270" spans="3:4" x14ac:dyDescent="0.25">
      <c r="C270" s="3">
        <v>12.69</v>
      </c>
      <c r="D270" s="13">
        <v>51157</v>
      </c>
    </row>
    <row r="271" spans="3:4" x14ac:dyDescent="0.25">
      <c r="C271" s="3">
        <v>14.12</v>
      </c>
      <c r="D271" s="13">
        <v>115378</v>
      </c>
    </row>
    <row r="272" spans="3:4" x14ac:dyDescent="0.25">
      <c r="C272" s="3">
        <v>6.6</v>
      </c>
      <c r="D272" s="13">
        <v>42949</v>
      </c>
    </row>
    <row r="273" spans="3:4" x14ac:dyDescent="0.25">
      <c r="C273" s="3">
        <v>10.8</v>
      </c>
      <c r="D273" s="13">
        <v>36477</v>
      </c>
    </row>
    <row r="274" spans="3:4" x14ac:dyDescent="0.25">
      <c r="C274" s="3">
        <v>10.07</v>
      </c>
      <c r="D274" s="13">
        <v>18603</v>
      </c>
    </row>
    <row r="275" spans="3:4" x14ac:dyDescent="0.25">
      <c r="C275" s="3">
        <v>8.61</v>
      </c>
      <c r="D275" s="13">
        <v>23206</v>
      </c>
    </row>
    <row r="276" spans="3:4" x14ac:dyDescent="0.25">
      <c r="C276" s="3">
        <v>9.7899999999999991</v>
      </c>
      <c r="D276" s="13">
        <v>4299</v>
      </c>
    </row>
    <row r="277" spans="3:4" x14ac:dyDescent="0.25">
      <c r="C277" s="3">
        <v>11.4</v>
      </c>
      <c r="D277" s="13">
        <v>107142</v>
      </c>
    </row>
    <row r="278" spans="3:4" x14ac:dyDescent="0.25">
      <c r="C278" s="3">
        <v>12.35</v>
      </c>
      <c r="D278" s="13">
        <v>18164</v>
      </c>
    </row>
    <row r="279" spans="3:4" x14ac:dyDescent="0.25">
      <c r="C279" s="3">
        <v>9.15</v>
      </c>
      <c r="D279" s="13">
        <v>24044</v>
      </c>
    </row>
    <row r="280" spans="3:4" x14ac:dyDescent="0.25">
      <c r="C280" s="3">
        <v>9.18</v>
      </c>
      <c r="D280" s="13">
        <v>6308</v>
      </c>
    </row>
    <row r="281" spans="3:4" x14ac:dyDescent="0.25">
      <c r="C281" s="3">
        <v>8.8699999999999992</v>
      </c>
      <c r="D281" s="13">
        <v>24290</v>
      </c>
    </row>
    <row r="282" spans="3:4" x14ac:dyDescent="0.25">
      <c r="C282" s="3">
        <v>6.87</v>
      </c>
      <c r="D282" s="13">
        <v>7009</v>
      </c>
    </row>
    <row r="283" spans="3:4" x14ac:dyDescent="0.25">
      <c r="C283" s="3">
        <v>8.1</v>
      </c>
      <c r="D283" s="13">
        <v>5376</v>
      </c>
    </row>
    <row r="284" spans="3:4" x14ac:dyDescent="0.25">
      <c r="C284" s="3">
        <v>10.6</v>
      </c>
      <c r="D284" s="13">
        <v>32322</v>
      </c>
    </row>
    <row r="285" spans="3:4" x14ac:dyDescent="0.25">
      <c r="C285" s="3">
        <v>7.19</v>
      </c>
      <c r="D285" s="13">
        <v>24638</v>
      </c>
    </row>
    <row r="286" spans="3:4" x14ac:dyDescent="0.25">
      <c r="C286" s="3">
        <v>9.3699999999999992</v>
      </c>
      <c r="D286" s="13">
        <v>55829</v>
      </c>
    </row>
    <row r="287" spans="3:4" x14ac:dyDescent="0.25">
      <c r="C287" s="3">
        <v>13.52</v>
      </c>
      <c r="D287" s="13">
        <v>121373</v>
      </c>
    </row>
    <row r="288" spans="3:4" x14ac:dyDescent="0.25">
      <c r="C288" s="3">
        <v>9.2200000000000006</v>
      </c>
      <c r="D288" s="13">
        <v>10593</v>
      </c>
    </row>
    <row r="289" spans="3:4" x14ac:dyDescent="0.25">
      <c r="C289" s="3">
        <v>10.8</v>
      </c>
      <c r="D289" s="13">
        <v>29698</v>
      </c>
    </row>
    <row r="290" spans="3:4" x14ac:dyDescent="0.25">
      <c r="C290" s="3">
        <v>10.4</v>
      </c>
      <c r="D290" s="13">
        <v>24065</v>
      </c>
    </row>
    <row r="291" spans="3:4" x14ac:dyDescent="0.25">
      <c r="C291" s="3">
        <v>8.8699999999999992</v>
      </c>
      <c r="D291" s="13">
        <v>19355</v>
      </c>
    </row>
    <row r="292" spans="3:4" x14ac:dyDescent="0.25">
      <c r="C292" s="3">
        <v>16.02</v>
      </c>
      <c r="D292" s="13">
        <v>23582</v>
      </c>
    </row>
    <row r="293" spans="3:4" x14ac:dyDescent="0.25">
      <c r="C293" s="3">
        <v>8.74</v>
      </c>
      <c r="D293" s="13">
        <v>35640</v>
      </c>
    </row>
    <row r="294" spans="3:4" x14ac:dyDescent="0.25">
      <c r="C294" s="3">
        <v>12.26</v>
      </c>
      <c r="D294" s="13">
        <v>119742</v>
      </c>
    </row>
    <row r="295" spans="3:4" x14ac:dyDescent="0.25">
      <c r="C295" s="3">
        <v>8.8000000000000007</v>
      </c>
      <c r="D295" s="13">
        <v>64982</v>
      </c>
    </row>
    <row r="296" spans="3:4" x14ac:dyDescent="0.25">
      <c r="C296" s="3">
        <v>11.13</v>
      </c>
      <c r="D296" s="13">
        <v>7930</v>
      </c>
    </row>
    <row r="297" spans="3:4" x14ac:dyDescent="0.25">
      <c r="C297" s="3">
        <v>9.8800000000000008</v>
      </c>
      <c r="D297" s="13">
        <v>50695</v>
      </c>
    </row>
    <row r="298" spans="3:4" x14ac:dyDescent="0.25">
      <c r="C298" s="3">
        <v>15.18</v>
      </c>
      <c r="D298" s="13">
        <v>105281</v>
      </c>
    </row>
    <row r="299" spans="3:4" x14ac:dyDescent="0.25">
      <c r="C299" s="3">
        <v>9.61</v>
      </c>
      <c r="D299" s="13">
        <v>5392</v>
      </c>
    </row>
    <row r="300" spans="3:4" x14ac:dyDescent="0.25">
      <c r="C300" s="3">
        <v>8.93</v>
      </c>
      <c r="D300" s="13">
        <v>9765</v>
      </c>
    </row>
    <row r="301" spans="3:4" x14ac:dyDescent="0.25">
      <c r="C301" s="3">
        <v>7.66</v>
      </c>
      <c r="D301" s="13">
        <v>4261</v>
      </c>
    </row>
    <row r="302" spans="3:4" x14ac:dyDescent="0.25">
      <c r="C302" s="3">
        <v>9.23</v>
      </c>
      <c r="D302" s="13">
        <v>40745</v>
      </c>
    </row>
    <row r="303" spans="3:4" x14ac:dyDescent="0.25">
      <c r="C303" s="3">
        <v>8.4700000000000006</v>
      </c>
      <c r="D303" s="13">
        <v>54947</v>
      </c>
    </row>
    <row r="304" spans="3:4" x14ac:dyDescent="0.25">
      <c r="C304" s="3">
        <v>11.46</v>
      </c>
      <c r="D304" s="13">
        <v>96866</v>
      </c>
    </row>
    <row r="305" spans="3:4" x14ac:dyDescent="0.25">
      <c r="C305" s="3">
        <v>9.6300000000000008</v>
      </c>
      <c r="D305" s="13">
        <v>23124</v>
      </c>
    </row>
    <row r="306" spans="3:4" x14ac:dyDescent="0.25">
      <c r="C306" s="3">
        <v>9.18</v>
      </c>
      <c r="D306" s="13">
        <v>16867</v>
      </c>
    </row>
    <row r="307" spans="3:4" x14ac:dyDescent="0.25">
      <c r="C307" s="3">
        <v>7.54</v>
      </c>
      <c r="D307" s="13">
        <v>62183</v>
      </c>
    </row>
    <row r="308" spans="3:4" x14ac:dyDescent="0.25">
      <c r="C308" s="3">
        <v>12.5</v>
      </c>
      <c r="D308" s="13">
        <v>30664</v>
      </c>
    </row>
    <row r="309" spans="3:4" x14ac:dyDescent="0.25">
      <c r="C309" s="3">
        <v>11</v>
      </c>
      <c r="D309" s="13">
        <v>10874</v>
      </c>
    </row>
    <row r="310" spans="3:4" x14ac:dyDescent="0.25">
      <c r="C310" s="3">
        <v>12.67</v>
      </c>
      <c r="D310" s="13">
        <v>31616</v>
      </c>
    </row>
    <row r="311" spans="3:4" x14ac:dyDescent="0.25">
      <c r="C311" s="3">
        <v>11.12</v>
      </c>
      <c r="D311" s="13">
        <v>48606</v>
      </c>
    </row>
    <row r="312" spans="3:4" x14ac:dyDescent="0.25">
      <c r="C312" s="3">
        <v>9.17</v>
      </c>
      <c r="D312" s="13">
        <v>50444</v>
      </c>
    </row>
    <row r="313" spans="3:4" x14ac:dyDescent="0.25">
      <c r="C313" s="3">
        <v>11.11</v>
      </c>
      <c r="D313" s="13">
        <v>10378</v>
      </c>
    </row>
    <row r="314" spans="3:4" x14ac:dyDescent="0.25">
      <c r="C314" s="3">
        <v>11.62</v>
      </c>
      <c r="D314" s="13">
        <v>29861</v>
      </c>
    </row>
    <row r="315" spans="3:4" x14ac:dyDescent="0.25">
      <c r="C315" s="3">
        <v>11.02</v>
      </c>
      <c r="D315" s="13">
        <v>19373</v>
      </c>
    </row>
    <row r="316" spans="3:4" x14ac:dyDescent="0.25">
      <c r="C316" s="3">
        <v>8.8699999999999992</v>
      </c>
      <c r="D316" s="13">
        <v>21111</v>
      </c>
    </row>
    <row r="317" spans="3:4" x14ac:dyDescent="0.25">
      <c r="C317" s="3">
        <v>8.23</v>
      </c>
      <c r="D317" s="13">
        <v>4343</v>
      </c>
    </row>
    <row r="318" spans="3:4" x14ac:dyDescent="0.25">
      <c r="C318" s="3">
        <v>11.99</v>
      </c>
      <c r="D318" s="13">
        <v>105311</v>
      </c>
    </row>
    <row r="319" spans="3:4" x14ac:dyDescent="0.25">
      <c r="C319" s="3">
        <v>11.95</v>
      </c>
      <c r="D319" s="13">
        <v>20311</v>
      </c>
    </row>
    <row r="320" spans="3:4" x14ac:dyDescent="0.25">
      <c r="C320" s="3">
        <v>10.47</v>
      </c>
      <c r="D320" s="13">
        <v>87097</v>
      </c>
    </row>
    <row r="321" spans="3:4" x14ac:dyDescent="0.25">
      <c r="C321" s="3">
        <v>11.08</v>
      </c>
      <c r="D321" s="13">
        <v>24307</v>
      </c>
    </row>
    <row r="322" spans="3:4" x14ac:dyDescent="0.25">
      <c r="C322" s="3">
        <v>10.74</v>
      </c>
      <c r="D322" s="13">
        <v>22088</v>
      </c>
    </row>
    <row r="323" spans="3:4" x14ac:dyDescent="0.25">
      <c r="C323" s="3">
        <v>10.92</v>
      </c>
      <c r="D323" s="13">
        <v>26088</v>
      </c>
    </row>
    <row r="324" spans="3:4" x14ac:dyDescent="0.25">
      <c r="C324" s="3">
        <v>9.2200000000000006</v>
      </c>
      <c r="D324" s="13">
        <v>18553</v>
      </c>
    </row>
    <row r="325" spans="3:4" x14ac:dyDescent="0.25">
      <c r="C325" s="3">
        <v>12.44</v>
      </c>
      <c r="D325" s="13">
        <v>11669</v>
      </c>
    </row>
    <row r="326" spans="3:4" x14ac:dyDescent="0.25">
      <c r="C326" s="3">
        <v>8.42</v>
      </c>
      <c r="D326" s="13">
        <v>12237</v>
      </c>
    </row>
    <row r="327" spans="3:4" x14ac:dyDescent="0.25">
      <c r="C327" s="3">
        <v>9.8800000000000008</v>
      </c>
      <c r="D327" s="13">
        <v>61679</v>
      </c>
    </row>
    <row r="328" spans="3:4" x14ac:dyDescent="0.25">
      <c r="C328" s="3">
        <v>10.27</v>
      </c>
      <c r="D328" s="13">
        <v>88729</v>
      </c>
    </row>
    <row r="329" spans="3:4" x14ac:dyDescent="0.25">
      <c r="C329" s="3">
        <v>13.65</v>
      </c>
      <c r="D329" s="13">
        <v>28916</v>
      </c>
    </row>
    <row r="330" spans="3:4" x14ac:dyDescent="0.25">
      <c r="C330" s="3">
        <v>9.07</v>
      </c>
      <c r="D330" s="13">
        <v>7165</v>
      </c>
    </row>
    <row r="331" spans="3:4" x14ac:dyDescent="0.25">
      <c r="C331" s="3">
        <v>11.37</v>
      </c>
      <c r="D331" s="13">
        <v>16501</v>
      </c>
    </row>
    <row r="332" spans="3:4" x14ac:dyDescent="0.25">
      <c r="C332" s="3">
        <v>7.74</v>
      </c>
      <c r="D332" s="13">
        <v>8905</v>
      </c>
    </row>
    <row r="333" spans="3:4" x14ac:dyDescent="0.25">
      <c r="C333" s="3">
        <v>12.16</v>
      </c>
      <c r="D333" s="13">
        <v>106901</v>
      </c>
    </row>
    <row r="334" spans="3:4" x14ac:dyDescent="0.25">
      <c r="C334" s="3">
        <v>11.27</v>
      </c>
      <c r="D334" s="13">
        <v>119820</v>
      </c>
    </row>
    <row r="335" spans="3:4" x14ac:dyDescent="0.25">
      <c r="C335" s="3">
        <v>12.23</v>
      </c>
      <c r="D335" s="13">
        <v>22861</v>
      </c>
    </row>
    <row r="336" spans="3:4" x14ac:dyDescent="0.25">
      <c r="C336" s="3">
        <v>12.13</v>
      </c>
      <c r="D336" s="13">
        <v>121294</v>
      </c>
    </row>
    <row r="337" spans="3:4" x14ac:dyDescent="0.25">
      <c r="C337" s="3">
        <v>9.1199999999999992</v>
      </c>
      <c r="D337" s="13">
        <v>60984</v>
      </c>
    </row>
    <row r="338" spans="3:4" x14ac:dyDescent="0.25">
      <c r="C338" s="3">
        <v>10.39</v>
      </c>
      <c r="D338" s="13">
        <v>33573</v>
      </c>
    </row>
    <row r="339" spans="3:4" x14ac:dyDescent="0.25">
      <c r="C339" s="3">
        <v>9.6</v>
      </c>
      <c r="D339" s="13">
        <v>29146</v>
      </c>
    </row>
    <row r="340" spans="3:4" x14ac:dyDescent="0.25">
      <c r="C340" s="3">
        <v>11.91</v>
      </c>
      <c r="D340" s="13">
        <v>47861</v>
      </c>
    </row>
    <row r="341" spans="3:4" x14ac:dyDescent="0.25">
      <c r="C341" s="3">
        <v>11.5</v>
      </c>
      <c r="D341" s="13">
        <v>34557</v>
      </c>
    </row>
    <row r="342" spans="3:4" x14ac:dyDescent="0.25">
      <c r="C342" s="3">
        <v>8.58</v>
      </c>
      <c r="D342" s="13">
        <v>30356</v>
      </c>
    </row>
    <row r="343" spans="3:4" x14ac:dyDescent="0.25">
      <c r="C343" s="3">
        <v>9.18</v>
      </c>
      <c r="D343" s="13">
        <v>34844</v>
      </c>
    </row>
    <row r="344" spans="3:4" x14ac:dyDescent="0.25">
      <c r="C344" s="3">
        <v>10.77</v>
      </c>
      <c r="D344" s="13">
        <v>104798</v>
      </c>
    </row>
    <row r="345" spans="3:4" x14ac:dyDescent="0.25">
      <c r="C345" s="3">
        <v>9.24</v>
      </c>
      <c r="D345" s="13">
        <v>20582</v>
      </c>
    </row>
    <row r="346" spans="3:4" x14ac:dyDescent="0.25">
      <c r="C346" s="3">
        <v>9.1999999999999993</v>
      </c>
      <c r="D346" s="13">
        <v>47388</v>
      </c>
    </row>
    <row r="347" spans="3:4" x14ac:dyDescent="0.25">
      <c r="C347" s="3">
        <v>10.01</v>
      </c>
      <c r="D347" s="13">
        <v>33380</v>
      </c>
    </row>
    <row r="348" spans="3:4" x14ac:dyDescent="0.25">
      <c r="C348" s="3">
        <v>9.18</v>
      </c>
      <c r="D348" s="13">
        <v>33043</v>
      </c>
    </row>
    <row r="349" spans="3:4" x14ac:dyDescent="0.25">
      <c r="C349" s="3">
        <v>12.26</v>
      </c>
      <c r="D349" s="13">
        <v>34955</v>
      </c>
    </row>
    <row r="350" spans="3:4" x14ac:dyDescent="0.25">
      <c r="C350" s="3">
        <v>13.82</v>
      </c>
      <c r="D350" s="13">
        <v>27443</v>
      </c>
    </row>
    <row r="351" spans="3:4" x14ac:dyDescent="0.25">
      <c r="C351" s="3">
        <v>9.75</v>
      </c>
      <c r="D351" s="13">
        <v>15461</v>
      </c>
    </row>
    <row r="352" spans="3:4" x14ac:dyDescent="0.25">
      <c r="C352" s="3">
        <v>11.92</v>
      </c>
      <c r="D352" s="13">
        <v>12225</v>
      </c>
    </row>
    <row r="353" spans="3:4" x14ac:dyDescent="0.25">
      <c r="C353" s="3">
        <v>11.12</v>
      </c>
      <c r="D353" s="13">
        <v>20836</v>
      </c>
    </row>
    <row r="354" spans="3:4" x14ac:dyDescent="0.25">
      <c r="C354" s="3">
        <v>9.9700000000000006</v>
      </c>
      <c r="D354" s="13">
        <v>13695</v>
      </c>
    </row>
    <row r="355" spans="3:4" x14ac:dyDescent="0.25">
      <c r="C355" s="3">
        <v>9.2799999999999994</v>
      </c>
      <c r="D355" s="13">
        <v>4089</v>
      </c>
    </row>
    <row r="356" spans="3:4" x14ac:dyDescent="0.25">
      <c r="C356" s="3">
        <v>7.73</v>
      </c>
      <c r="D356" s="13">
        <v>29577</v>
      </c>
    </row>
    <row r="357" spans="3:4" x14ac:dyDescent="0.25">
      <c r="C357" s="3">
        <v>8.5299999999999994</v>
      </c>
      <c r="D357" s="13">
        <v>22330</v>
      </c>
    </row>
    <row r="358" spans="3:4" x14ac:dyDescent="0.25">
      <c r="C358" s="3">
        <v>9.23</v>
      </c>
      <c r="D358" s="13">
        <v>8886</v>
      </c>
    </row>
    <row r="359" spans="3:4" x14ac:dyDescent="0.25">
      <c r="C359" s="3">
        <v>11.75</v>
      </c>
      <c r="D359" s="13">
        <v>31012</v>
      </c>
    </row>
    <row r="360" spans="3:4" x14ac:dyDescent="0.25">
      <c r="C360" s="3">
        <v>12.76</v>
      </c>
      <c r="D360" s="13">
        <v>35333</v>
      </c>
    </row>
    <row r="361" spans="3:4" x14ac:dyDescent="0.25">
      <c r="C361" s="3">
        <v>9.1999999999999993</v>
      </c>
      <c r="D361" s="13">
        <v>61508</v>
      </c>
    </row>
    <row r="362" spans="3:4" x14ac:dyDescent="0.25">
      <c r="C362" s="3">
        <v>14.63</v>
      </c>
      <c r="D362" s="13">
        <v>22360</v>
      </c>
    </row>
    <row r="363" spans="3:4" x14ac:dyDescent="0.25">
      <c r="C363" s="3">
        <v>9.94</v>
      </c>
      <c r="D363" s="13">
        <v>24051</v>
      </c>
    </row>
    <row r="364" spans="3:4" x14ac:dyDescent="0.25">
      <c r="C364" s="3">
        <v>13.97</v>
      </c>
      <c r="D364" s="13">
        <v>4593</v>
      </c>
    </row>
    <row r="365" spans="3:4" x14ac:dyDescent="0.25">
      <c r="C365" s="3">
        <v>6.93</v>
      </c>
      <c r="D365" s="13">
        <v>4019</v>
      </c>
    </row>
    <row r="366" spans="3:4" x14ac:dyDescent="0.25">
      <c r="C366" s="3">
        <v>10.77</v>
      </c>
      <c r="D366" s="13">
        <v>25108</v>
      </c>
    </row>
    <row r="367" spans="3:4" x14ac:dyDescent="0.25">
      <c r="C367" s="3">
        <v>10.17</v>
      </c>
      <c r="D367" s="13">
        <v>11878</v>
      </c>
    </row>
    <row r="368" spans="3:4" x14ac:dyDescent="0.25">
      <c r="C368" s="3">
        <v>7.23</v>
      </c>
      <c r="D368" s="13">
        <v>34611</v>
      </c>
    </row>
    <row r="369" spans="3:4" x14ac:dyDescent="0.25">
      <c r="C369" s="3">
        <v>8.8000000000000007</v>
      </c>
      <c r="D369" s="13">
        <v>6494</v>
      </c>
    </row>
    <row r="370" spans="3:4" x14ac:dyDescent="0.25">
      <c r="C370" s="3">
        <v>7.3</v>
      </c>
      <c r="D370" s="13">
        <v>7951</v>
      </c>
    </row>
    <row r="371" spans="3:4" x14ac:dyDescent="0.25">
      <c r="C371" s="3">
        <v>10.26</v>
      </c>
      <c r="D371" s="13">
        <v>24446</v>
      </c>
    </row>
    <row r="372" spans="3:4" x14ac:dyDescent="0.25">
      <c r="C372" s="3">
        <v>10.77</v>
      </c>
      <c r="D372" s="13">
        <v>33576</v>
      </c>
    </row>
    <row r="373" spans="3:4" x14ac:dyDescent="0.25">
      <c r="C373" s="3">
        <v>8.33</v>
      </c>
      <c r="D373" s="13">
        <v>20043</v>
      </c>
    </row>
    <row r="374" spans="3:4" x14ac:dyDescent="0.25">
      <c r="C374" s="3">
        <v>10.67</v>
      </c>
      <c r="D374" s="13">
        <v>20291</v>
      </c>
    </row>
    <row r="375" spans="3:4" x14ac:dyDescent="0.25">
      <c r="C375" s="3">
        <v>10.130000000000001</v>
      </c>
      <c r="D375" s="13">
        <v>8705</v>
      </c>
    </row>
    <row r="376" spans="3:4" x14ac:dyDescent="0.25">
      <c r="C376" s="3">
        <v>7.03</v>
      </c>
      <c r="D376" s="13">
        <v>33538</v>
      </c>
    </row>
    <row r="377" spans="3:4" x14ac:dyDescent="0.25">
      <c r="C377" s="3">
        <v>7.41</v>
      </c>
      <c r="D377" s="13">
        <v>30073</v>
      </c>
    </row>
    <row r="378" spans="3:4" x14ac:dyDescent="0.25">
      <c r="C378" s="3">
        <v>11.05</v>
      </c>
      <c r="D378" s="13">
        <v>19099</v>
      </c>
    </row>
    <row r="379" spans="3:4" x14ac:dyDescent="0.25">
      <c r="C379" s="3">
        <v>10.97</v>
      </c>
      <c r="D379" s="13">
        <v>90213</v>
      </c>
    </row>
    <row r="380" spans="3:4" x14ac:dyDescent="0.25">
      <c r="C380" s="3">
        <v>11.11</v>
      </c>
      <c r="D380" s="13">
        <v>3479</v>
      </c>
    </row>
    <row r="381" spans="3:4" x14ac:dyDescent="0.25">
      <c r="C381" s="3">
        <v>9.44</v>
      </c>
      <c r="D381" s="13">
        <v>45085</v>
      </c>
    </row>
    <row r="382" spans="3:4" x14ac:dyDescent="0.25">
      <c r="C382" s="3">
        <v>8.3000000000000007</v>
      </c>
      <c r="D382" s="13">
        <v>54150</v>
      </c>
    </row>
    <row r="383" spans="3:4" x14ac:dyDescent="0.25">
      <c r="C383" s="3">
        <v>13.38</v>
      </c>
      <c r="D383" s="13">
        <v>95316</v>
      </c>
    </row>
    <row r="384" spans="3:4" x14ac:dyDescent="0.25">
      <c r="C384" s="3">
        <v>10.039999999999999</v>
      </c>
      <c r="D384" s="13">
        <v>41139</v>
      </c>
    </row>
    <row r="385" spans="3:4" x14ac:dyDescent="0.25">
      <c r="C385" s="3">
        <v>10.49</v>
      </c>
      <c r="D385" s="13">
        <v>67502</v>
      </c>
    </row>
    <row r="386" spans="3:4" x14ac:dyDescent="0.25">
      <c r="C386" s="3">
        <v>5.98</v>
      </c>
      <c r="D386" s="13">
        <v>37516</v>
      </c>
    </row>
    <row r="387" spans="3:4" x14ac:dyDescent="0.25">
      <c r="C387" s="3">
        <v>10.23</v>
      </c>
      <c r="D387" s="13">
        <v>105759</v>
      </c>
    </row>
    <row r="388" spans="3:4" x14ac:dyDescent="0.25">
      <c r="C388" s="3">
        <v>11</v>
      </c>
      <c r="D388" s="13">
        <v>51954</v>
      </c>
    </row>
    <row r="389" spans="3:4" x14ac:dyDescent="0.25">
      <c r="C389" s="3">
        <v>14.45</v>
      </c>
      <c r="D389" s="13">
        <v>14617</v>
      </c>
    </row>
    <row r="390" spans="3:4" x14ac:dyDescent="0.25">
      <c r="C390" s="3">
        <v>7.38</v>
      </c>
      <c r="D390" s="13">
        <v>20756</v>
      </c>
    </row>
    <row r="391" spans="3:4" x14ac:dyDescent="0.25">
      <c r="C391" s="3">
        <v>11.47</v>
      </c>
      <c r="D391" s="13">
        <v>3155</v>
      </c>
    </row>
    <row r="392" spans="3:4" x14ac:dyDescent="0.25">
      <c r="C392" s="3">
        <v>13.02</v>
      </c>
      <c r="D392" s="13">
        <v>29641</v>
      </c>
    </row>
    <row r="393" spans="3:4" x14ac:dyDescent="0.25">
      <c r="C393" s="3">
        <v>8.4600000000000009</v>
      </c>
      <c r="D393" s="13">
        <v>75712</v>
      </c>
    </row>
    <row r="394" spans="3:4" x14ac:dyDescent="0.25">
      <c r="C394" s="3">
        <v>7.54</v>
      </c>
      <c r="D394" s="13">
        <v>7942</v>
      </c>
    </row>
    <row r="395" spans="3:4" x14ac:dyDescent="0.25">
      <c r="C395" s="3">
        <v>10.07</v>
      </c>
      <c r="D395" s="13">
        <v>11545</v>
      </c>
    </row>
    <row r="396" spans="3:4" x14ac:dyDescent="0.25">
      <c r="C396" s="3">
        <v>11.88</v>
      </c>
      <c r="D396" s="13">
        <v>26842</v>
      </c>
    </row>
    <row r="397" spans="3:4" x14ac:dyDescent="0.25">
      <c r="C397" s="3">
        <v>12.48</v>
      </c>
      <c r="D397" s="13">
        <v>5345</v>
      </c>
    </row>
    <row r="398" spans="3:4" x14ac:dyDescent="0.25">
      <c r="C398" s="3">
        <v>10.48</v>
      </c>
      <c r="D398" s="13">
        <v>22410</v>
      </c>
    </row>
    <row r="399" spans="3:4" x14ac:dyDescent="0.25">
      <c r="C399" s="3">
        <v>10.45</v>
      </c>
      <c r="D399" s="13">
        <v>23225</v>
      </c>
    </row>
    <row r="400" spans="3:4" x14ac:dyDescent="0.25">
      <c r="C400" s="3">
        <v>10.77</v>
      </c>
      <c r="D400" s="13">
        <v>23528</v>
      </c>
    </row>
    <row r="401" spans="3:4" x14ac:dyDescent="0.25">
      <c r="C401" s="3">
        <v>6.62</v>
      </c>
      <c r="D401" s="13">
        <v>18817</v>
      </c>
    </row>
    <row r="402" spans="3:4" x14ac:dyDescent="0.25">
      <c r="C402" s="3">
        <v>11.47</v>
      </c>
      <c r="D402" s="13">
        <v>21305</v>
      </c>
    </row>
    <row r="403" spans="3:4" x14ac:dyDescent="0.25">
      <c r="C403" s="3">
        <v>10.34</v>
      </c>
      <c r="D403" s="13">
        <v>41466</v>
      </c>
    </row>
    <row r="404" spans="3:4" x14ac:dyDescent="0.25">
      <c r="C404" s="3">
        <v>8.5299999999999994</v>
      </c>
      <c r="D404" s="13">
        <v>37471</v>
      </c>
    </row>
    <row r="405" spans="3:4" x14ac:dyDescent="0.25">
      <c r="C405" s="3">
        <v>12.72</v>
      </c>
      <c r="D405" s="13">
        <v>4079</v>
      </c>
    </row>
    <row r="406" spans="3:4" x14ac:dyDescent="0.25">
      <c r="C406" s="3">
        <v>6.87</v>
      </c>
      <c r="D406" s="13">
        <v>23162</v>
      </c>
    </row>
    <row r="407" spans="3:4" x14ac:dyDescent="0.25">
      <c r="C407" s="3">
        <v>15.84</v>
      </c>
      <c r="D407" s="13">
        <v>20210</v>
      </c>
    </row>
    <row r="408" spans="3:4" x14ac:dyDescent="0.25">
      <c r="C408" s="3">
        <v>10.99</v>
      </c>
      <c r="D408" s="13">
        <v>36732</v>
      </c>
    </row>
    <row r="409" spans="3:4" x14ac:dyDescent="0.25">
      <c r="C409" s="3">
        <v>10.77</v>
      </c>
      <c r="D409" s="13">
        <v>25674</v>
      </c>
    </row>
    <row r="410" spans="3:4" x14ac:dyDescent="0.25">
      <c r="C410" s="3">
        <v>6.8</v>
      </c>
      <c r="D410" s="13">
        <v>8150</v>
      </c>
    </row>
    <row r="411" spans="3:4" x14ac:dyDescent="0.25">
      <c r="C411" s="3">
        <v>12.79</v>
      </c>
      <c r="D411" s="13">
        <v>28492</v>
      </c>
    </row>
    <row r="412" spans="3:4" x14ac:dyDescent="0.25">
      <c r="C412" s="3">
        <v>8.1</v>
      </c>
      <c r="D412" s="13">
        <v>10463</v>
      </c>
    </row>
    <row r="413" spans="3:4" x14ac:dyDescent="0.25">
      <c r="C413" s="3">
        <v>7.87</v>
      </c>
      <c r="D413" s="13">
        <v>21349</v>
      </c>
    </row>
    <row r="414" spans="3:4" x14ac:dyDescent="0.25">
      <c r="C414" s="3">
        <v>7.04</v>
      </c>
      <c r="D414" s="13">
        <v>16631</v>
      </c>
    </row>
    <row r="415" spans="3:4" x14ac:dyDescent="0.25">
      <c r="C415" s="3">
        <v>10.01</v>
      </c>
      <c r="D415" s="13">
        <v>10186</v>
      </c>
    </row>
    <row r="416" spans="3:4" x14ac:dyDescent="0.25">
      <c r="C416" s="3">
        <v>5.83</v>
      </c>
      <c r="D416" s="13">
        <v>4053</v>
      </c>
    </row>
    <row r="417" spans="3:4" x14ac:dyDescent="0.25">
      <c r="C417" s="3">
        <v>6.74</v>
      </c>
      <c r="D417" s="13">
        <v>48987</v>
      </c>
    </row>
    <row r="418" spans="3:4" x14ac:dyDescent="0.25">
      <c r="C418" s="3">
        <v>5.73</v>
      </c>
      <c r="D418" s="13">
        <v>36139</v>
      </c>
    </row>
    <row r="419" spans="3:4" x14ac:dyDescent="0.25">
      <c r="C419" s="3">
        <v>7.97</v>
      </c>
      <c r="D419" s="13">
        <v>12700</v>
      </c>
    </row>
    <row r="420" spans="3:4" x14ac:dyDescent="0.25">
      <c r="C420" s="3">
        <v>11.72</v>
      </c>
      <c r="D420" s="13">
        <v>5337</v>
      </c>
    </row>
    <row r="421" spans="3:4" x14ac:dyDescent="0.25">
      <c r="C421" s="3">
        <v>11.88</v>
      </c>
      <c r="D421" s="13">
        <v>18364</v>
      </c>
    </row>
    <row r="422" spans="3:4" x14ac:dyDescent="0.25">
      <c r="C422" s="3">
        <v>11.37</v>
      </c>
      <c r="D422" s="13">
        <v>22852</v>
      </c>
    </row>
    <row r="423" spans="3:4" x14ac:dyDescent="0.25">
      <c r="C423" s="3">
        <v>7.53</v>
      </c>
      <c r="D423" s="13">
        <v>46521</v>
      </c>
    </row>
    <row r="424" spans="3:4" x14ac:dyDescent="0.25">
      <c r="C424" s="3">
        <v>13.05</v>
      </c>
      <c r="D424" s="13">
        <v>36046</v>
      </c>
    </row>
    <row r="425" spans="3:4" x14ac:dyDescent="0.25">
      <c r="C425" s="3">
        <v>8.99</v>
      </c>
      <c r="D425" s="13">
        <v>72376</v>
      </c>
    </row>
    <row r="426" spans="3:4" x14ac:dyDescent="0.25">
      <c r="C426" s="3">
        <v>11.29</v>
      </c>
      <c r="D426" s="13">
        <v>117223</v>
      </c>
    </row>
    <row r="427" spans="3:4" x14ac:dyDescent="0.25">
      <c r="C427" s="3">
        <v>11.95</v>
      </c>
      <c r="D427" s="13">
        <v>116498</v>
      </c>
    </row>
    <row r="428" spans="3:4" x14ac:dyDescent="0.25">
      <c r="C428" s="3">
        <v>10.92</v>
      </c>
      <c r="D428" s="13">
        <v>97813</v>
      </c>
    </row>
    <row r="429" spans="3:4" x14ac:dyDescent="0.25">
      <c r="C429" s="3">
        <v>10.199999999999999</v>
      </c>
      <c r="D429" s="13">
        <v>6818</v>
      </c>
    </row>
    <row r="430" spans="3:4" x14ac:dyDescent="0.25">
      <c r="C430" s="3">
        <v>10.07</v>
      </c>
      <c r="D430" s="13">
        <v>22421</v>
      </c>
    </row>
    <row r="431" spans="3:4" x14ac:dyDescent="0.25">
      <c r="C431" s="3">
        <v>8.1</v>
      </c>
      <c r="D431" s="13">
        <v>24472</v>
      </c>
    </row>
    <row r="432" spans="3:4" x14ac:dyDescent="0.25">
      <c r="C432" s="3">
        <v>9.09</v>
      </c>
      <c r="D432" s="13">
        <v>16388</v>
      </c>
    </row>
    <row r="433" spans="3:4" x14ac:dyDescent="0.25">
      <c r="C433" s="3">
        <v>9.7200000000000006</v>
      </c>
      <c r="D433" s="13">
        <v>18309</v>
      </c>
    </row>
    <row r="434" spans="3:4" x14ac:dyDescent="0.25">
      <c r="C434" s="3">
        <v>5.6</v>
      </c>
      <c r="D434" s="13">
        <v>7919</v>
      </c>
    </row>
    <row r="435" spans="3:4" x14ac:dyDescent="0.25">
      <c r="C435" s="3">
        <v>10.130000000000001</v>
      </c>
      <c r="D435" s="13">
        <v>47012</v>
      </c>
    </row>
    <row r="436" spans="3:4" x14ac:dyDescent="0.25">
      <c r="C436" s="3">
        <v>11.03</v>
      </c>
      <c r="D436" s="13">
        <v>57707</v>
      </c>
    </row>
    <row r="437" spans="3:4" x14ac:dyDescent="0.25">
      <c r="C437" s="3">
        <v>6.74</v>
      </c>
      <c r="D437" s="13">
        <v>12266</v>
      </c>
    </row>
    <row r="438" spans="3:4" x14ac:dyDescent="0.25">
      <c r="C438" s="3">
        <v>8.9700000000000006</v>
      </c>
      <c r="D438" s="13">
        <v>14924</v>
      </c>
    </row>
    <row r="439" spans="3:4" x14ac:dyDescent="0.25">
      <c r="C439" s="3">
        <v>10.17</v>
      </c>
      <c r="D439" s="13">
        <v>31595</v>
      </c>
    </row>
    <row r="440" spans="3:4" x14ac:dyDescent="0.25">
      <c r="C440" s="3">
        <v>9.5299999999999994</v>
      </c>
      <c r="D440" s="13">
        <v>10609</v>
      </c>
    </row>
    <row r="441" spans="3:4" x14ac:dyDescent="0.25">
      <c r="C441" s="3">
        <v>11.04</v>
      </c>
      <c r="D441" s="13">
        <v>34800</v>
      </c>
    </row>
    <row r="442" spans="3:4" x14ac:dyDescent="0.25">
      <c r="C442" s="3">
        <v>10.58</v>
      </c>
      <c r="D442" s="13">
        <v>5637</v>
      </c>
    </row>
    <row r="443" spans="3:4" x14ac:dyDescent="0.25">
      <c r="C443" s="3">
        <v>9.6300000000000008</v>
      </c>
      <c r="D443" s="13">
        <v>14817</v>
      </c>
    </row>
    <row r="444" spans="3:4" x14ac:dyDescent="0.25">
      <c r="C444" s="3">
        <v>15.58</v>
      </c>
      <c r="D444" s="13">
        <v>31481</v>
      </c>
    </row>
    <row r="445" spans="3:4" x14ac:dyDescent="0.25">
      <c r="C445" s="3">
        <v>9.82</v>
      </c>
      <c r="D445" s="13">
        <v>7243</v>
      </c>
    </row>
    <row r="446" spans="3:4" x14ac:dyDescent="0.25">
      <c r="C446" s="3">
        <v>10.89</v>
      </c>
      <c r="D446" s="13">
        <v>11846</v>
      </c>
    </row>
    <row r="447" spans="3:4" x14ac:dyDescent="0.25">
      <c r="C447" s="3">
        <v>11.17</v>
      </c>
      <c r="D447" s="13">
        <v>92698</v>
      </c>
    </row>
    <row r="448" spans="3:4" x14ac:dyDescent="0.25">
      <c r="C448" s="3">
        <v>14.34</v>
      </c>
      <c r="D448" s="13">
        <v>2873</v>
      </c>
    </row>
    <row r="449" spans="3:4" x14ac:dyDescent="0.25">
      <c r="C449" s="3">
        <v>12.17</v>
      </c>
      <c r="D449" s="13">
        <v>70720</v>
      </c>
    </row>
    <row r="450" spans="3:4" x14ac:dyDescent="0.25">
      <c r="C450" s="3">
        <v>8.9</v>
      </c>
      <c r="D450" s="13">
        <v>65273</v>
      </c>
    </row>
    <row r="451" spans="3:4" x14ac:dyDescent="0.25">
      <c r="C451" s="3">
        <v>11.03</v>
      </c>
      <c r="D451" s="13">
        <v>18363</v>
      </c>
    </row>
    <row r="452" spans="3:4" x14ac:dyDescent="0.25">
      <c r="C452" s="3">
        <v>9.8800000000000008</v>
      </c>
      <c r="D452" s="13">
        <v>31827</v>
      </c>
    </row>
    <row r="453" spans="3:4" x14ac:dyDescent="0.25">
      <c r="C453" s="3">
        <v>8.5500000000000007</v>
      </c>
      <c r="D453" s="13">
        <v>28635</v>
      </c>
    </row>
    <row r="454" spans="3:4" x14ac:dyDescent="0.25">
      <c r="C454" s="3">
        <v>9.8699999999999992</v>
      </c>
      <c r="D454" s="13">
        <v>14777</v>
      </c>
    </row>
    <row r="455" spans="3:4" x14ac:dyDescent="0.25">
      <c r="C455" s="3">
        <v>12.87</v>
      </c>
      <c r="D455" s="13">
        <v>11906</v>
      </c>
    </row>
    <row r="456" spans="3:4" x14ac:dyDescent="0.25">
      <c r="C456" s="3">
        <v>9.8699999999999992</v>
      </c>
      <c r="D456" s="13">
        <v>18781</v>
      </c>
    </row>
    <row r="457" spans="3:4" x14ac:dyDescent="0.25">
      <c r="C457" s="3">
        <v>8.0399999999999991</v>
      </c>
      <c r="D457" s="13">
        <v>10081</v>
      </c>
    </row>
    <row r="458" spans="3:4" x14ac:dyDescent="0.25">
      <c r="C458" s="3">
        <v>7.8</v>
      </c>
      <c r="D458" s="13">
        <v>4924</v>
      </c>
    </row>
    <row r="459" spans="3:4" x14ac:dyDescent="0.25">
      <c r="C459" s="3">
        <v>9.91</v>
      </c>
      <c r="D459" s="13">
        <v>4424</v>
      </c>
    </row>
    <row r="460" spans="3:4" x14ac:dyDescent="0.25">
      <c r="C460" s="3">
        <v>15.51</v>
      </c>
      <c r="D460" s="13">
        <v>11716</v>
      </c>
    </row>
    <row r="461" spans="3:4" x14ac:dyDescent="0.25">
      <c r="C461" s="3">
        <v>12.47</v>
      </c>
      <c r="D461" s="13">
        <v>54493</v>
      </c>
    </row>
    <row r="462" spans="3:4" x14ac:dyDescent="0.25">
      <c r="C462" s="3">
        <v>10.050000000000001</v>
      </c>
      <c r="D462" s="13">
        <v>29705</v>
      </c>
    </row>
    <row r="463" spans="3:4" x14ac:dyDescent="0.25">
      <c r="C463" s="3">
        <v>10.17</v>
      </c>
      <c r="D463" s="13">
        <v>29602</v>
      </c>
    </row>
    <row r="464" spans="3:4" x14ac:dyDescent="0.25">
      <c r="C464" s="3">
        <v>13.2</v>
      </c>
      <c r="D464" s="13">
        <v>26504</v>
      </c>
    </row>
    <row r="465" spans="3:4" x14ac:dyDescent="0.25">
      <c r="C465" s="3">
        <v>11</v>
      </c>
      <c r="D465" s="13">
        <v>19207</v>
      </c>
    </row>
    <row r="466" spans="3:4" x14ac:dyDescent="0.25">
      <c r="C466" s="3">
        <v>12.21</v>
      </c>
      <c r="D466" s="13">
        <v>25954</v>
      </c>
    </row>
    <row r="467" spans="3:4" x14ac:dyDescent="0.25">
      <c r="C467" s="3">
        <v>10</v>
      </c>
      <c r="D467" s="13">
        <v>55360</v>
      </c>
    </row>
    <row r="468" spans="3:4" x14ac:dyDescent="0.25">
      <c r="C468" s="3">
        <v>12.7</v>
      </c>
      <c r="D468" s="13">
        <v>38076</v>
      </c>
    </row>
    <row r="469" spans="3:4" x14ac:dyDescent="0.25">
      <c r="C469" s="3">
        <v>8.64</v>
      </c>
      <c r="D469" s="13">
        <v>27914</v>
      </c>
    </row>
    <row r="470" spans="3:4" x14ac:dyDescent="0.25">
      <c r="C470" s="3">
        <v>8.39</v>
      </c>
      <c r="D470" s="13">
        <v>4080</v>
      </c>
    </row>
    <row r="471" spans="3:4" x14ac:dyDescent="0.25">
      <c r="C471" s="3">
        <v>9.4600000000000009</v>
      </c>
      <c r="D471" s="13">
        <v>48805</v>
      </c>
    </row>
    <row r="472" spans="3:4" x14ac:dyDescent="0.25">
      <c r="C472" s="3">
        <v>9.57</v>
      </c>
      <c r="D472" s="13">
        <v>33062</v>
      </c>
    </row>
    <row r="473" spans="3:4" x14ac:dyDescent="0.25">
      <c r="C473" s="3">
        <v>11.27</v>
      </c>
      <c r="D473" s="13">
        <v>31608</v>
      </c>
    </row>
    <row r="474" spans="3:4" x14ac:dyDescent="0.25">
      <c r="C474" s="3">
        <v>8.11</v>
      </c>
      <c r="D474" s="13">
        <v>58222</v>
      </c>
    </row>
    <row r="475" spans="3:4" x14ac:dyDescent="0.25">
      <c r="C475" s="3">
        <v>8.0299999999999994</v>
      </c>
      <c r="D475" s="13">
        <v>5503</v>
      </c>
    </row>
    <row r="476" spans="3:4" x14ac:dyDescent="0.25">
      <c r="C476" s="3">
        <v>10.89</v>
      </c>
      <c r="D476" s="13">
        <v>6243</v>
      </c>
    </row>
    <row r="477" spans="3:4" x14ac:dyDescent="0.25">
      <c r="C477" s="3">
        <v>10.039999999999999</v>
      </c>
      <c r="D477" s="13">
        <v>5509</v>
      </c>
    </row>
    <row r="478" spans="3:4" x14ac:dyDescent="0.25">
      <c r="C478" s="3">
        <v>9.93</v>
      </c>
      <c r="D478" s="13">
        <v>4361</v>
      </c>
    </row>
    <row r="479" spans="3:4" x14ac:dyDescent="0.25">
      <c r="C479" s="3">
        <v>11.12</v>
      </c>
      <c r="D479" s="13">
        <v>52197</v>
      </c>
    </row>
    <row r="480" spans="3:4" x14ac:dyDescent="0.25">
      <c r="C480" s="3">
        <v>8.3699999999999992</v>
      </c>
      <c r="D480" s="13">
        <v>63456</v>
      </c>
    </row>
    <row r="481" spans="3:4" x14ac:dyDescent="0.25">
      <c r="C481" s="3">
        <v>9.44</v>
      </c>
      <c r="D481" s="13">
        <v>72172</v>
      </c>
    </row>
    <row r="482" spans="3:4" x14ac:dyDescent="0.25">
      <c r="C482" s="3">
        <v>9.5</v>
      </c>
      <c r="D482" s="13">
        <v>87869</v>
      </c>
    </row>
    <row r="483" spans="3:4" x14ac:dyDescent="0.25">
      <c r="C483" s="3">
        <v>11.88</v>
      </c>
      <c r="D483" s="13">
        <v>6336</v>
      </c>
    </row>
    <row r="484" spans="3:4" x14ac:dyDescent="0.25">
      <c r="C484" s="3">
        <v>12.28</v>
      </c>
      <c r="D484" s="13">
        <v>3836</v>
      </c>
    </row>
    <row r="485" spans="3:4" x14ac:dyDescent="0.25">
      <c r="C485" s="3">
        <v>10.85</v>
      </c>
      <c r="D485" s="13">
        <v>4561</v>
      </c>
    </row>
    <row r="486" spans="3:4" x14ac:dyDescent="0.25">
      <c r="C486" s="3">
        <v>13.78</v>
      </c>
      <c r="D486" s="13">
        <v>38888</v>
      </c>
    </row>
    <row r="487" spans="3:4" x14ac:dyDescent="0.25">
      <c r="C487" s="3">
        <v>12.5</v>
      </c>
      <c r="D487" s="13">
        <v>23262</v>
      </c>
    </row>
    <row r="488" spans="3:4" x14ac:dyDescent="0.25">
      <c r="C488" s="3">
        <v>10.45</v>
      </c>
      <c r="D488" s="13">
        <v>4055</v>
      </c>
    </row>
    <row r="489" spans="3:4" x14ac:dyDescent="0.25">
      <c r="C489" s="3">
        <v>13.17</v>
      </c>
      <c r="D489" s="13">
        <v>24700</v>
      </c>
    </row>
    <row r="490" spans="3:4" x14ac:dyDescent="0.25">
      <c r="C490" s="3">
        <v>11.43</v>
      </c>
      <c r="D490" s="13">
        <v>23908</v>
      </c>
    </row>
    <row r="491" spans="3:4" x14ac:dyDescent="0.25">
      <c r="C491" s="3">
        <v>10.36</v>
      </c>
      <c r="D491" s="13">
        <v>10868</v>
      </c>
    </row>
    <row r="492" spans="3:4" x14ac:dyDescent="0.25">
      <c r="C492" s="3">
        <v>7.16</v>
      </c>
      <c r="D492" s="13">
        <v>31188</v>
      </c>
    </row>
    <row r="493" spans="3:4" x14ac:dyDescent="0.25">
      <c r="C493" s="3">
        <v>9.57</v>
      </c>
      <c r="D493" s="13">
        <v>3135</v>
      </c>
    </row>
    <row r="494" spans="3:4" x14ac:dyDescent="0.25">
      <c r="C494" s="3">
        <v>12.69</v>
      </c>
      <c r="D494" s="13">
        <v>122213</v>
      </c>
    </row>
    <row r="495" spans="3:4" x14ac:dyDescent="0.25">
      <c r="C495" s="3">
        <v>10.39</v>
      </c>
      <c r="D495" s="13">
        <v>26155</v>
      </c>
    </row>
    <row r="496" spans="3:4" x14ac:dyDescent="0.25">
      <c r="C496" s="3">
        <v>10.97</v>
      </c>
      <c r="D496" s="13">
        <v>4372</v>
      </c>
    </row>
    <row r="497" spans="3:4" x14ac:dyDescent="0.25">
      <c r="C497" s="3">
        <v>8.36</v>
      </c>
      <c r="D497" s="13">
        <v>61283</v>
      </c>
    </row>
    <row r="498" spans="3:4" x14ac:dyDescent="0.25">
      <c r="C498" s="3">
        <v>8.36</v>
      </c>
      <c r="D498" s="13">
        <v>5491</v>
      </c>
    </row>
    <row r="499" spans="3:4" x14ac:dyDescent="0.25">
      <c r="C499" s="3">
        <v>14.47</v>
      </c>
      <c r="D499" s="13">
        <v>31435</v>
      </c>
    </row>
    <row r="500" spans="3:4" x14ac:dyDescent="0.25">
      <c r="C500" s="3">
        <v>8.57</v>
      </c>
      <c r="D500" s="13">
        <v>44855</v>
      </c>
    </row>
    <row r="501" spans="3:4" x14ac:dyDescent="0.25">
      <c r="C501" s="3">
        <v>9.31</v>
      </c>
      <c r="D501" s="13">
        <v>4918</v>
      </c>
    </row>
    <row r="502" spans="3:4" x14ac:dyDescent="0.25">
      <c r="C502" s="3">
        <v>7.87</v>
      </c>
      <c r="D502" s="13">
        <v>12329</v>
      </c>
    </row>
    <row r="503" spans="3:4" x14ac:dyDescent="0.25">
      <c r="C503" s="3">
        <v>9.57</v>
      </c>
      <c r="D503" s="13">
        <v>20070</v>
      </c>
    </row>
    <row r="504" spans="3:4" x14ac:dyDescent="0.25">
      <c r="C504" s="3">
        <v>7.99</v>
      </c>
      <c r="D504" s="13">
        <v>20528</v>
      </c>
    </row>
    <row r="505" spans="3:4" x14ac:dyDescent="0.25">
      <c r="C505" s="3">
        <v>13.07</v>
      </c>
      <c r="D505" s="13">
        <v>33677</v>
      </c>
    </row>
    <row r="506" spans="3:4" x14ac:dyDescent="0.25">
      <c r="C506" s="3">
        <v>11.47</v>
      </c>
      <c r="D506" s="13">
        <v>90494</v>
      </c>
    </row>
    <row r="507" spans="3:4" x14ac:dyDescent="0.25">
      <c r="C507" s="3">
        <v>8.68</v>
      </c>
      <c r="D507" s="13">
        <v>17093</v>
      </c>
    </row>
    <row r="508" spans="3:4" x14ac:dyDescent="0.25">
      <c r="C508" s="3">
        <v>7.74</v>
      </c>
      <c r="D508" s="13">
        <v>55545</v>
      </c>
    </row>
    <row r="509" spans="3:4" x14ac:dyDescent="0.25">
      <c r="C509" s="3">
        <v>10.08</v>
      </c>
      <c r="D509" s="13">
        <v>81371</v>
      </c>
    </row>
    <row r="510" spans="3:4" x14ac:dyDescent="0.25">
      <c r="C510" s="3">
        <v>9.64</v>
      </c>
      <c r="D510" s="13">
        <v>14936</v>
      </c>
    </row>
    <row r="511" spans="3:4" x14ac:dyDescent="0.25">
      <c r="C511" s="3">
        <v>10.29</v>
      </c>
      <c r="D511" s="13">
        <v>16992</v>
      </c>
    </row>
    <row r="512" spans="3:4" x14ac:dyDescent="0.25">
      <c r="C512" s="3">
        <v>10.45</v>
      </c>
      <c r="D512" s="13">
        <v>6608</v>
      </c>
    </row>
    <row r="513" spans="3:4" x14ac:dyDescent="0.25">
      <c r="C513" s="3">
        <v>7.92</v>
      </c>
      <c r="D513" s="13">
        <v>7693</v>
      </c>
    </row>
    <row r="514" spans="3:4" x14ac:dyDescent="0.25">
      <c r="C514" s="3">
        <v>8.42</v>
      </c>
      <c r="D514" s="13">
        <v>7611</v>
      </c>
    </row>
    <row r="515" spans="3:4" x14ac:dyDescent="0.25">
      <c r="C515" s="3">
        <v>9.57</v>
      </c>
      <c r="D515" s="13">
        <v>28638</v>
      </c>
    </row>
    <row r="516" spans="3:4" x14ac:dyDescent="0.25">
      <c r="C516" s="3">
        <v>10.7</v>
      </c>
      <c r="D516" s="13">
        <v>29408</v>
      </c>
    </row>
    <row r="517" spans="3:4" x14ac:dyDescent="0.25">
      <c r="C517" s="3">
        <v>11.22</v>
      </c>
      <c r="D517" s="13">
        <v>6246</v>
      </c>
    </row>
    <row r="518" spans="3:4" x14ac:dyDescent="0.25">
      <c r="C518" s="3">
        <v>7.47</v>
      </c>
      <c r="D518" s="13">
        <v>23403</v>
      </c>
    </row>
    <row r="519" spans="3:4" x14ac:dyDescent="0.25">
      <c r="C519" s="3">
        <v>10.130000000000001</v>
      </c>
      <c r="D519" s="13">
        <v>3141</v>
      </c>
    </row>
    <row r="520" spans="3:4" x14ac:dyDescent="0.25">
      <c r="C520" s="3">
        <v>9.43</v>
      </c>
      <c r="D520" s="13">
        <v>52705</v>
      </c>
    </row>
    <row r="521" spans="3:4" x14ac:dyDescent="0.25">
      <c r="C521" s="3">
        <v>11.9</v>
      </c>
      <c r="D521" s="13">
        <v>28407</v>
      </c>
    </row>
    <row r="522" spans="3:4" x14ac:dyDescent="0.25">
      <c r="C522" s="3">
        <v>11.77</v>
      </c>
      <c r="D522" s="13">
        <v>69311</v>
      </c>
    </row>
    <row r="523" spans="3:4" x14ac:dyDescent="0.25">
      <c r="C523" s="3">
        <v>10.17</v>
      </c>
      <c r="D523" s="13">
        <v>21034</v>
      </c>
    </row>
    <row r="524" spans="3:4" x14ac:dyDescent="0.25">
      <c r="C524" s="3">
        <v>10.33</v>
      </c>
      <c r="D524" s="13">
        <v>13102</v>
      </c>
    </row>
    <row r="525" spans="3:4" x14ac:dyDescent="0.25">
      <c r="C525" s="3">
        <v>10.29</v>
      </c>
      <c r="D525" s="13">
        <v>9644</v>
      </c>
    </row>
    <row r="526" spans="3:4" x14ac:dyDescent="0.25">
      <c r="C526" s="3">
        <v>9.1199999999999992</v>
      </c>
      <c r="D526" s="13">
        <v>64141</v>
      </c>
    </row>
    <row r="527" spans="3:4" x14ac:dyDescent="0.25">
      <c r="C527" s="3">
        <v>14.74</v>
      </c>
      <c r="D527" s="13">
        <v>9985</v>
      </c>
    </row>
    <row r="528" spans="3:4" x14ac:dyDescent="0.25">
      <c r="C528" s="3">
        <v>11.3</v>
      </c>
      <c r="D528" s="13">
        <v>24666</v>
      </c>
    </row>
    <row r="529" spans="3:4" x14ac:dyDescent="0.25">
      <c r="C529" s="3">
        <v>12.58</v>
      </c>
      <c r="D529" s="13">
        <v>13494</v>
      </c>
    </row>
    <row r="530" spans="3:4" x14ac:dyDescent="0.25">
      <c r="C530" s="3">
        <v>8.69</v>
      </c>
      <c r="D530" s="13">
        <v>95614</v>
      </c>
    </row>
    <row r="531" spans="3:4" x14ac:dyDescent="0.25">
      <c r="C531" s="3">
        <v>11.29</v>
      </c>
      <c r="D531" s="13">
        <v>28707</v>
      </c>
    </row>
    <row r="532" spans="3:4" x14ac:dyDescent="0.25">
      <c r="C532" s="3">
        <v>10.199999999999999</v>
      </c>
      <c r="D532" s="13">
        <v>60149</v>
      </c>
    </row>
    <row r="533" spans="3:4" x14ac:dyDescent="0.25">
      <c r="C533" s="3">
        <v>8.6</v>
      </c>
      <c r="D533" s="13">
        <v>24653</v>
      </c>
    </row>
    <row r="534" spans="3:4" x14ac:dyDescent="0.25">
      <c r="C534" s="3">
        <v>13.14</v>
      </c>
      <c r="D534" s="13">
        <v>20857</v>
      </c>
    </row>
    <row r="535" spans="3:4" x14ac:dyDescent="0.25">
      <c r="C535" s="3">
        <v>8.49</v>
      </c>
      <c r="D535" s="13">
        <v>4270</v>
      </c>
    </row>
    <row r="536" spans="3:4" x14ac:dyDescent="0.25">
      <c r="C536" s="3">
        <v>14.04</v>
      </c>
      <c r="D536" s="13">
        <v>121689</v>
      </c>
    </row>
    <row r="537" spans="3:4" x14ac:dyDescent="0.25">
      <c r="C537" s="3">
        <v>10.58</v>
      </c>
      <c r="D537" s="13">
        <v>35109</v>
      </c>
    </row>
    <row r="538" spans="3:4" x14ac:dyDescent="0.25">
      <c r="C538" s="3">
        <v>9.9</v>
      </c>
      <c r="D538" s="13">
        <v>32315</v>
      </c>
    </row>
    <row r="539" spans="3:4" x14ac:dyDescent="0.25">
      <c r="C539" s="3">
        <v>12.06</v>
      </c>
      <c r="D539" s="13">
        <v>48037</v>
      </c>
    </row>
    <row r="540" spans="3:4" x14ac:dyDescent="0.25">
      <c r="C540" s="3">
        <v>13.49</v>
      </c>
      <c r="D540" s="13">
        <v>34578</v>
      </c>
    </row>
    <row r="541" spans="3:4" x14ac:dyDescent="0.25">
      <c r="C541" s="3">
        <v>9.34</v>
      </c>
      <c r="D541" s="13">
        <v>15168</v>
      </c>
    </row>
    <row r="542" spans="3:4" x14ac:dyDescent="0.25">
      <c r="C542" s="3">
        <v>12.97</v>
      </c>
      <c r="D542" s="13">
        <v>14931</v>
      </c>
    </row>
    <row r="543" spans="3:4" x14ac:dyDescent="0.25">
      <c r="C543" s="3">
        <v>10.07</v>
      </c>
      <c r="D543" s="13">
        <v>22063</v>
      </c>
    </row>
    <row r="544" spans="3:4" x14ac:dyDescent="0.25">
      <c r="C544" s="3">
        <v>9.35</v>
      </c>
      <c r="D544" s="13">
        <v>20583</v>
      </c>
    </row>
    <row r="545" spans="3:4" x14ac:dyDescent="0.25">
      <c r="C545" s="3">
        <v>10.45</v>
      </c>
      <c r="D545" s="13">
        <v>68365</v>
      </c>
    </row>
    <row r="546" spans="3:4" x14ac:dyDescent="0.25">
      <c r="C546" s="3">
        <v>12.67</v>
      </c>
      <c r="D546" s="13">
        <v>15491</v>
      </c>
    </row>
    <row r="547" spans="3:4" x14ac:dyDescent="0.25">
      <c r="C547" s="3">
        <v>10.6</v>
      </c>
      <c r="D547" s="13">
        <v>7641</v>
      </c>
    </row>
    <row r="548" spans="3:4" x14ac:dyDescent="0.25">
      <c r="C548" s="3">
        <v>12.1</v>
      </c>
      <c r="D548" s="13">
        <v>34718</v>
      </c>
    </row>
    <row r="549" spans="3:4" x14ac:dyDescent="0.25">
      <c r="C549" s="3">
        <v>15.8</v>
      </c>
      <c r="D549" s="13">
        <v>159426</v>
      </c>
    </row>
    <row r="550" spans="3:4" x14ac:dyDescent="0.25">
      <c r="C550" s="3">
        <v>10.07</v>
      </c>
      <c r="D550" s="13">
        <v>25579</v>
      </c>
    </row>
    <row r="551" spans="3:4" x14ac:dyDescent="0.25">
      <c r="C551" s="3">
        <v>8.61</v>
      </c>
      <c r="D551" s="13">
        <v>59518</v>
      </c>
    </row>
    <row r="552" spans="3:4" x14ac:dyDescent="0.25">
      <c r="C552" s="3">
        <v>11.81</v>
      </c>
      <c r="D552" s="13">
        <v>8172</v>
      </c>
    </row>
    <row r="553" spans="3:4" x14ac:dyDescent="0.25">
      <c r="C553" s="3">
        <v>15.57</v>
      </c>
      <c r="D553" s="13">
        <v>28846</v>
      </c>
    </row>
    <row r="554" spans="3:4" x14ac:dyDescent="0.25">
      <c r="C554" s="3">
        <v>9.5299999999999994</v>
      </c>
      <c r="D554" s="13">
        <v>8034</v>
      </c>
    </row>
    <row r="555" spans="3:4" x14ac:dyDescent="0.25">
      <c r="C555" s="3">
        <v>15.4</v>
      </c>
      <c r="D555" s="13">
        <v>114658</v>
      </c>
    </row>
    <row r="556" spans="3:4" x14ac:dyDescent="0.25">
      <c r="C556" s="3">
        <v>10.27</v>
      </c>
      <c r="D556" s="13">
        <v>33476</v>
      </c>
    </row>
    <row r="557" spans="3:4" x14ac:dyDescent="0.25">
      <c r="C557" s="3">
        <v>9.64</v>
      </c>
      <c r="D557" s="13">
        <v>9932</v>
      </c>
    </row>
    <row r="558" spans="3:4" x14ac:dyDescent="0.25">
      <c r="C558" s="3">
        <v>7.13</v>
      </c>
      <c r="D558" s="13">
        <v>32393</v>
      </c>
    </row>
    <row r="559" spans="3:4" x14ac:dyDescent="0.25">
      <c r="C559" s="3">
        <v>10.58</v>
      </c>
      <c r="D559" s="13">
        <v>27969</v>
      </c>
    </row>
    <row r="560" spans="3:4" x14ac:dyDescent="0.25">
      <c r="C560" s="3">
        <v>13.78</v>
      </c>
      <c r="D560" s="13">
        <v>44697</v>
      </c>
    </row>
    <row r="561" spans="3:4" x14ac:dyDescent="0.25">
      <c r="C561" s="3">
        <v>7.93</v>
      </c>
      <c r="D561" s="13">
        <v>9619</v>
      </c>
    </row>
    <row r="562" spans="3:4" x14ac:dyDescent="0.25">
      <c r="C562" s="3">
        <v>11.15</v>
      </c>
      <c r="D562" s="13">
        <v>20836</v>
      </c>
    </row>
    <row r="563" spans="3:4" x14ac:dyDescent="0.25">
      <c r="C563" s="3">
        <v>11.4</v>
      </c>
      <c r="D563" s="13">
        <v>9838</v>
      </c>
    </row>
    <row r="564" spans="3:4" x14ac:dyDescent="0.25">
      <c r="C564" s="3">
        <v>11.37</v>
      </c>
      <c r="D564" s="13">
        <v>99959</v>
      </c>
    </row>
    <row r="565" spans="3:4" x14ac:dyDescent="0.25">
      <c r="C565" s="3">
        <v>11.84</v>
      </c>
      <c r="D565" s="13">
        <v>4116</v>
      </c>
    </row>
    <row r="566" spans="3:4" x14ac:dyDescent="0.25">
      <c r="C566" s="3">
        <v>6.65</v>
      </c>
      <c r="D566" s="13">
        <v>22985</v>
      </c>
    </row>
    <row r="567" spans="3:4" x14ac:dyDescent="0.25">
      <c r="C567" s="3">
        <v>10.89</v>
      </c>
      <c r="D567" s="13">
        <v>27310</v>
      </c>
    </row>
    <row r="568" spans="3:4" x14ac:dyDescent="0.25">
      <c r="C568" s="3">
        <v>10.17</v>
      </c>
      <c r="D568" s="13">
        <v>6235</v>
      </c>
    </row>
    <row r="569" spans="3:4" x14ac:dyDescent="0.25">
      <c r="C569" s="3">
        <v>14.92</v>
      </c>
      <c r="D569" s="13">
        <v>22647</v>
      </c>
    </row>
    <row r="570" spans="3:4" x14ac:dyDescent="0.25">
      <c r="C570" s="3">
        <v>10.71</v>
      </c>
      <c r="D570" s="13">
        <v>7003</v>
      </c>
    </row>
    <row r="571" spans="3:4" x14ac:dyDescent="0.25">
      <c r="C571" s="3">
        <v>10.17</v>
      </c>
      <c r="D571" s="13">
        <v>5321</v>
      </c>
    </row>
    <row r="572" spans="3:4" x14ac:dyDescent="0.25">
      <c r="C572" s="3">
        <v>13.52</v>
      </c>
      <c r="D572" s="13">
        <v>15934</v>
      </c>
    </row>
    <row r="573" spans="3:4" x14ac:dyDescent="0.25">
      <c r="C573" s="3">
        <v>10.199999999999999</v>
      </c>
      <c r="D573" s="13">
        <v>18142</v>
      </c>
    </row>
    <row r="574" spans="3:4" x14ac:dyDescent="0.25">
      <c r="C574" s="3">
        <v>10.63</v>
      </c>
      <c r="D574" s="13">
        <v>28882</v>
      </c>
    </row>
    <row r="575" spans="3:4" x14ac:dyDescent="0.25">
      <c r="C575" s="3">
        <v>13.52</v>
      </c>
      <c r="D575" s="13">
        <v>114255</v>
      </c>
    </row>
    <row r="576" spans="3:4" x14ac:dyDescent="0.25">
      <c r="C576" s="3">
        <v>9.6999999999999993</v>
      </c>
      <c r="D576" s="13">
        <v>9403</v>
      </c>
    </row>
    <row r="577" spans="3:4" x14ac:dyDescent="0.25">
      <c r="C577" s="3">
        <v>12.43</v>
      </c>
      <c r="D577" s="13">
        <v>5549</v>
      </c>
    </row>
    <row r="578" spans="3:4" x14ac:dyDescent="0.25">
      <c r="C578" s="3">
        <v>14.37</v>
      </c>
      <c r="D578" s="13">
        <v>11884</v>
      </c>
    </row>
    <row r="579" spans="3:4" x14ac:dyDescent="0.25">
      <c r="C579" s="3">
        <v>12.29</v>
      </c>
      <c r="D579" s="13">
        <v>79050</v>
      </c>
    </row>
    <row r="580" spans="3:4" x14ac:dyDescent="0.25">
      <c r="C580" s="3">
        <v>11.43</v>
      </c>
      <c r="D580" s="13">
        <v>33060</v>
      </c>
    </row>
    <row r="581" spans="3:4" x14ac:dyDescent="0.25">
      <c r="C581" s="3">
        <v>9.06</v>
      </c>
      <c r="D581" s="13">
        <v>30557</v>
      </c>
    </row>
    <row r="582" spans="3:4" x14ac:dyDescent="0.25">
      <c r="C582" s="3">
        <v>8.9499999999999993</v>
      </c>
      <c r="D582" s="13">
        <v>4162</v>
      </c>
    </row>
    <row r="583" spans="3:4" x14ac:dyDescent="0.25">
      <c r="C583" s="3">
        <v>12.7</v>
      </c>
      <c r="D583" s="13">
        <v>146428</v>
      </c>
    </row>
    <row r="584" spans="3:4" x14ac:dyDescent="0.25">
      <c r="C584" s="3">
        <v>10.07</v>
      </c>
      <c r="D584" s="13">
        <v>24311</v>
      </c>
    </row>
    <row r="585" spans="3:4" x14ac:dyDescent="0.25">
      <c r="C585" s="3">
        <v>7.82</v>
      </c>
      <c r="D585" s="13">
        <v>8016</v>
      </c>
    </row>
    <row r="586" spans="3:4" x14ac:dyDescent="0.25">
      <c r="C586" s="3">
        <v>8.49</v>
      </c>
      <c r="D586" s="13">
        <v>32285</v>
      </c>
    </row>
    <row r="587" spans="3:4" x14ac:dyDescent="0.25">
      <c r="C587" s="3">
        <v>10.199999999999999</v>
      </c>
      <c r="D587" s="13">
        <v>4099</v>
      </c>
    </row>
    <row r="588" spans="3:4" x14ac:dyDescent="0.25">
      <c r="C588" s="3">
        <v>15.14</v>
      </c>
      <c r="D588" s="13">
        <v>15891</v>
      </c>
    </row>
    <row r="589" spans="3:4" x14ac:dyDescent="0.25">
      <c r="C589" s="3">
        <v>7.88</v>
      </c>
      <c r="D589" s="13">
        <v>44066</v>
      </c>
    </row>
    <row r="590" spans="3:4" x14ac:dyDescent="0.25">
      <c r="C590" s="3">
        <v>6.9</v>
      </c>
      <c r="D590" s="13">
        <v>3107</v>
      </c>
    </row>
    <row r="591" spans="3:4" x14ac:dyDescent="0.25">
      <c r="C591" s="3">
        <v>9.42</v>
      </c>
      <c r="D591" s="13">
        <v>11949</v>
      </c>
    </row>
    <row r="592" spans="3:4" x14ac:dyDescent="0.25">
      <c r="C592" s="3">
        <v>6.74</v>
      </c>
      <c r="D592" s="13">
        <v>9653</v>
      </c>
    </row>
    <row r="593" spans="3:4" x14ac:dyDescent="0.25">
      <c r="C593" s="3">
        <v>10.07</v>
      </c>
      <c r="D593" s="13">
        <v>109860</v>
      </c>
    </row>
    <row r="594" spans="3:4" x14ac:dyDescent="0.25">
      <c r="C594" s="3">
        <v>11.97</v>
      </c>
      <c r="D594" s="13">
        <v>34089</v>
      </c>
    </row>
    <row r="595" spans="3:4" x14ac:dyDescent="0.25">
      <c r="C595" s="3">
        <v>10.23</v>
      </c>
      <c r="D595" s="13">
        <v>14942</v>
      </c>
    </row>
    <row r="596" spans="3:4" x14ac:dyDescent="0.25">
      <c r="C596" s="3">
        <v>9.67</v>
      </c>
      <c r="D596" s="13">
        <v>29606</v>
      </c>
    </row>
    <row r="597" spans="3:4" x14ac:dyDescent="0.25">
      <c r="C597" s="3">
        <v>6.52</v>
      </c>
      <c r="D597" s="13">
        <v>21070</v>
      </c>
    </row>
    <row r="598" spans="3:4" x14ac:dyDescent="0.25">
      <c r="C598" s="3">
        <v>10.38</v>
      </c>
      <c r="D598" s="13">
        <v>6416</v>
      </c>
    </row>
    <row r="599" spans="3:4" x14ac:dyDescent="0.25">
      <c r="C599" s="3">
        <v>7.28</v>
      </c>
      <c r="D599" s="13">
        <v>38398</v>
      </c>
    </row>
    <row r="600" spans="3:4" x14ac:dyDescent="0.25">
      <c r="C600" s="3">
        <v>13.42</v>
      </c>
      <c r="D600" s="13">
        <v>14273</v>
      </c>
    </row>
    <row r="601" spans="3:4" x14ac:dyDescent="0.25">
      <c r="C601" s="3">
        <v>11.24</v>
      </c>
      <c r="D601" s="13">
        <v>22060</v>
      </c>
    </row>
    <row r="602" spans="3:4" x14ac:dyDescent="0.25">
      <c r="C602" s="3">
        <v>9.83</v>
      </c>
      <c r="D602" s="13">
        <v>19101</v>
      </c>
    </row>
    <row r="603" spans="3:4" x14ac:dyDescent="0.25">
      <c r="C603" s="3">
        <v>11.08</v>
      </c>
      <c r="D603" s="13">
        <v>13987</v>
      </c>
    </row>
    <row r="604" spans="3:4" x14ac:dyDescent="0.25">
      <c r="C604" s="3">
        <v>10.87</v>
      </c>
      <c r="D604" s="13">
        <v>18604</v>
      </c>
    </row>
    <row r="605" spans="3:4" x14ac:dyDescent="0.25">
      <c r="C605" s="3">
        <v>12.51</v>
      </c>
      <c r="D605" s="13">
        <v>83680</v>
      </c>
    </row>
    <row r="606" spans="3:4" x14ac:dyDescent="0.25">
      <c r="C606" s="3">
        <v>13.05</v>
      </c>
      <c r="D606" s="13">
        <v>4083</v>
      </c>
    </row>
    <row r="607" spans="3:4" x14ac:dyDescent="0.25">
      <c r="C607" s="3">
        <v>10.54</v>
      </c>
      <c r="D607" s="13">
        <v>22935</v>
      </c>
    </row>
    <row r="608" spans="3:4" x14ac:dyDescent="0.25">
      <c r="C608" s="3">
        <v>8.43</v>
      </c>
      <c r="D608" s="13">
        <v>27676</v>
      </c>
    </row>
    <row r="609" spans="3:4" x14ac:dyDescent="0.25">
      <c r="C609" s="3">
        <v>13.02</v>
      </c>
      <c r="D609" s="13">
        <v>40213</v>
      </c>
    </row>
    <row r="610" spans="3:4" x14ac:dyDescent="0.25">
      <c r="C610" s="3">
        <v>9.44</v>
      </c>
      <c r="D610" s="13">
        <v>43672</v>
      </c>
    </row>
    <row r="611" spans="3:4" x14ac:dyDescent="0.25">
      <c r="C611" s="3">
        <v>11.37</v>
      </c>
      <c r="D611" s="13">
        <v>23209</v>
      </c>
    </row>
    <row r="612" spans="3:4" x14ac:dyDescent="0.25">
      <c r="C612" s="3">
        <v>8.39</v>
      </c>
      <c r="D612" s="13">
        <v>8897</v>
      </c>
    </row>
    <row r="613" spans="3:4" x14ac:dyDescent="0.25">
      <c r="C613" s="3">
        <v>7.89</v>
      </c>
      <c r="D613" s="13">
        <v>64197</v>
      </c>
    </row>
    <row r="614" spans="3:4" x14ac:dyDescent="0.25">
      <c r="C614" s="3">
        <v>8.99</v>
      </c>
      <c r="D614" s="13">
        <v>11088</v>
      </c>
    </row>
    <row r="615" spans="3:4" x14ac:dyDescent="0.25">
      <c r="C615" s="3">
        <v>12.6</v>
      </c>
      <c r="D615" s="13">
        <v>98104</v>
      </c>
    </row>
    <row r="616" spans="3:4" x14ac:dyDescent="0.25">
      <c r="C616" s="3">
        <v>9.7899999999999991</v>
      </c>
      <c r="D616" s="13">
        <v>21369</v>
      </c>
    </row>
    <row r="617" spans="3:4" x14ac:dyDescent="0.25">
      <c r="C617" s="3">
        <v>11.6</v>
      </c>
      <c r="D617" s="13">
        <v>16429</v>
      </c>
    </row>
    <row r="618" spans="3:4" x14ac:dyDescent="0.25">
      <c r="C618" s="3">
        <v>11.05</v>
      </c>
      <c r="D618" s="13">
        <v>5519</v>
      </c>
    </row>
    <row r="619" spans="3:4" x14ac:dyDescent="0.25">
      <c r="C619" s="3">
        <v>6.33</v>
      </c>
      <c r="D619" s="13">
        <v>16883</v>
      </c>
    </row>
    <row r="620" spans="3:4" x14ac:dyDescent="0.25">
      <c r="C620" s="3">
        <v>11</v>
      </c>
      <c r="D620" s="13">
        <v>4700</v>
      </c>
    </row>
    <row r="621" spans="3:4" x14ac:dyDescent="0.25">
      <c r="C621" s="3">
        <v>12.21</v>
      </c>
      <c r="D621" s="13">
        <v>107425</v>
      </c>
    </row>
    <row r="622" spans="3:4" x14ac:dyDescent="0.25">
      <c r="C622" s="3">
        <v>9.5299999999999994</v>
      </c>
      <c r="D622" s="13">
        <v>29145</v>
      </c>
    </row>
    <row r="623" spans="3:4" x14ac:dyDescent="0.25">
      <c r="C623" s="3">
        <v>8.5299999999999994</v>
      </c>
      <c r="D623" s="13">
        <v>58266</v>
      </c>
    </row>
    <row r="624" spans="3:4" x14ac:dyDescent="0.25">
      <c r="C624" s="3">
        <v>11.04</v>
      </c>
      <c r="D624" s="13">
        <v>86100</v>
      </c>
    </row>
    <row r="625" spans="3:4" x14ac:dyDescent="0.25">
      <c r="C625" s="3">
        <v>12.37</v>
      </c>
      <c r="D625" s="13">
        <v>26784</v>
      </c>
    </row>
    <row r="626" spans="3:4" x14ac:dyDescent="0.25">
      <c r="C626" s="3">
        <v>10.47</v>
      </c>
      <c r="D626" s="13">
        <v>9148</v>
      </c>
    </row>
    <row r="627" spans="3:4" x14ac:dyDescent="0.25">
      <c r="C627" s="3">
        <v>11.37</v>
      </c>
      <c r="D627" s="13">
        <v>100456</v>
      </c>
    </row>
    <row r="628" spans="3:4" x14ac:dyDescent="0.25">
      <c r="C628" s="3">
        <v>7.1</v>
      </c>
      <c r="D628" s="13">
        <v>22955</v>
      </c>
    </row>
    <row r="629" spans="3:4" x14ac:dyDescent="0.25">
      <c r="C629" s="3">
        <v>11.18</v>
      </c>
      <c r="D629" s="13">
        <v>86545</v>
      </c>
    </row>
    <row r="630" spans="3:4" x14ac:dyDescent="0.25">
      <c r="C630" s="3">
        <v>9.6</v>
      </c>
      <c r="D630" s="13">
        <v>30324</v>
      </c>
    </row>
    <row r="631" spans="3:4" x14ac:dyDescent="0.25">
      <c r="C631" s="3">
        <v>8.68</v>
      </c>
      <c r="D631" s="13">
        <v>9341</v>
      </c>
    </row>
    <row r="632" spans="3:4" x14ac:dyDescent="0.25">
      <c r="C632" s="3">
        <v>9.6300000000000008</v>
      </c>
      <c r="D632" s="13">
        <v>16871</v>
      </c>
    </row>
    <row r="633" spans="3:4" x14ac:dyDescent="0.25">
      <c r="C633" s="3">
        <v>14.15</v>
      </c>
      <c r="D633" s="13">
        <v>28317</v>
      </c>
    </row>
    <row r="634" spans="3:4" x14ac:dyDescent="0.25">
      <c r="C634" s="3">
        <v>12.67</v>
      </c>
      <c r="D634" s="13">
        <v>28415</v>
      </c>
    </row>
    <row r="635" spans="3:4" x14ac:dyDescent="0.25">
      <c r="C635" s="3">
        <v>12.98</v>
      </c>
      <c r="D635" s="13">
        <v>107459</v>
      </c>
    </row>
    <row r="636" spans="3:4" x14ac:dyDescent="0.25">
      <c r="C636" s="3">
        <v>12.03</v>
      </c>
      <c r="D636" s="13">
        <v>25215</v>
      </c>
    </row>
    <row r="637" spans="3:4" x14ac:dyDescent="0.25">
      <c r="C637" s="3">
        <v>9.77</v>
      </c>
      <c r="D637" s="13">
        <v>4945</v>
      </c>
    </row>
    <row r="638" spans="3:4" x14ac:dyDescent="0.25">
      <c r="C638" s="3">
        <v>11.84</v>
      </c>
      <c r="D638" s="13">
        <v>8417</v>
      </c>
    </row>
    <row r="639" spans="3:4" x14ac:dyDescent="0.25">
      <c r="C639" s="3">
        <v>7.57</v>
      </c>
      <c r="D639" s="13">
        <v>17933</v>
      </c>
    </row>
    <row r="640" spans="3:4" x14ac:dyDescent="0.25">
      <c r="C640" s="3">
        <v>13.23</v>
      </c>
      <c r="D640" s="13">
        <v>23478</v>
      </c>
    </row>
    <row r="641" spans="3:4" x14ac:dyDescent="0.25">
      <c r="C641" s="3">
        <v>12.73</v>
      </c>
      <c r="D641" s="13">
        <v>36027</v>
      </c>
    </row>
    <row r="642" spans="3:4" x14ac:dyDescent="0.25">
      <c r="C642" s="3">
        <v>8.17</v>
      </c>
      <c r="D642" s="13">
        <v>6773</v>
      </c>
    </row>
    <row r="643" spans="3:4" x14ac:dyDescent="0.25">
      <c r="C643" s="3">
        <v>12.7</v>
      </c>
      <c r="D643" s="13">
        <v>62288</v>
      </c>
    </row>
    <row r="644" spans="3:4" x14ac:dyDescent="0.25">
      <c r="C644" s="3">
        <v>8.8000000000000007</v>
      </c>
      <c r="D644" s="13">
        <v>50373</v>
      </c>
    </row>
    <row r="645" spans="3:4" x14ac:dyDescent="0.25">
      <c r="C645" s="3">
        <v>11.22</v>
      </c>
      <c r="D645" s="13">
        <v>32373</v>
      </c>
    </row>
    <row r="646" spans="3:4" x14ac:dyDescent="0.25">
      <c r="C646" s="3">
        <v>14.13</v>
      </c>
      <c r="D646" s="13">
        <v>16666</v>
      </c>
    </row>
    <row r="647" spans="3:4" x14ac:dyDescent="0.25">
      <c r="C647" s="3">
        <v>9.44</v>
      </c>
      <c r="D647" s="13">
        <v>81969</v>
      </c>
    </row>
    <row r="648" spans="3:4" x14ac:dyDescent="0.25">
      <c r="C648" s="3">
        <v>11.3</v>
      </c>
      <c r="D648" s="13">
        <v>32860</v>
      </c>
    </row>
    <row r="649" spans="3:4" x14ac:dyDescent="0.25">
      <c r="C649" s="3">
        <v>11.65</v>
      </c>
      <c r="D649" s="13">
        <v>11167</v>
      </c>
    </row>
    <row r="650" spans="3:4" x14ac:dyDescent="0.25">
      <c r="C650" s="3">
        <v>11.77</v>
      </c>
      <c r="D650" s="13">
        <v>47015</v>
      </c>
    </row>
    <row r="651" spans="3:4" x14ac:dyDescent="0.25">
      <c r="C651" s="3">
        <v>10.26</v>
      </c>
      <c r="D651" s="13">
        <v>25353</v>
      </c>
    </row>
    <row r="652" spans="3:4" x14ac:dyDescent="0.25">
      <c r="C652" s="3">
        <v>8.74</v>
      </c>
      <c r="D652" s="13">
        <v>15309</v>
      </c>
    </row>
    <row r="653" spans="3:4" x14ac:dyDescent="0.25">
      <c r="C653" s="3">
        <v>7.79</v>
      </c>
      <c r="D653" s="13">
        <v>20631</v>
      </c>
    </row>
    <row r="654" spans="3:4" x14ac:dyDescent="0.25">
      <c r="C654" s="3">
        <v>9.5</v>
      </c>
      <c r="D654" s="13">
        <v>4281</v>
      </c>
    </row>
    <row r="655" spans="3:4" x14ac:dyDescent="0.25">
      <c r="C655" s="3">
        <v>10.99</v>
      </c>
      <c r="D655" s="13">
        <v>31077</v>
      </c>
    </row>
    <row r="656" spans="3:4" x14ac:dyDescent="0.25">
      <c r="C656" s="3">
        <v>14.23</v>
      </c>
      <c r="D656" s="13">
        <v>24502</v>
      </c>
    </row>
    <row r="657" spans="3:4" x14ac:dyDescent="0.25">
      <c r="C657" s="3">
        <v>13.2</v>
      </c>
      <c r="D657" s="13">
        <v>26449</v>
      </c>
    </row>
    <row r="658" spans="3:4" x14ac:dyDescent="0.25">
      <c r="C658" s="3">
        <v>10.38</v>
      </c>
      <c r="D658" s="13">
        <v>20702</v>
      </c>
    </row>
    <row r="659" spans="3:4" x14ac:dyDescent="0.25">
      <c r="C659" s="3">
        <v>12.1</v>
      </c>
      <c r="D659" s="13">
        <v>21319</v>
      </c>
    </row>
    <row r="660" spans="3:4" x14ac:dyDescent="0.25">
      <c r="C660" s="3">
        <v>11.73</v>
      </c>
      <c r="D660" s="13">
        <v>30611</v>
      </c>
    </row>
    <row r="661" spans="3:4" x14ac:dyDescent="0.25">
      <c r="C661" s="3">
        <v>8.43</v>
      </c>
      <c r="D661" s="13">
        <v>61669</v>
      </c>
    </row>
    <row r="662" spans="3:4" x14ac:dyDescent="0.25">
      <c r="C662" s="3">
        <v>14.13</v>
      </c>
      <c r="D662" s="13">
        <v>8526</v>
      </c>
    </row>
    <row r="663" spans="3:4" x14ac:dyDescent="0.25">
      <c r="C663" s="3">
        <v>11.05</v>
      </c>
      <c r="D663" s="13">
        <v>10147</v>
      </c>
    </row>
    <row r="664" spans="3:4" x14ac:dyDescent="0.25">
      <c r="C664" s="3">
        <v>11.97</v>
      </c>
      <c r="D664" s="13">
        <v>65981</v>
      </c>
    </row>
    <row r="665" spans="3:4" x14ac:dyDescent="0.25">
      <c r="C665" s="3">
        <v>9.6</v>
      </c>
      <c r="D665" s="13">
        <v>35986</v>
      </c>
    </row>
    <row r="666" spans="3:4" x14ac:dyDescent="0.25">
      <c r="C666" s="3">
        <v>15.51</v>
      </c>
      <c r="D666" s="13">
        <v>16089</v>
      </c>
    </row>
    <row r="667" spans="3:4" x14ac:dyDescent="0.25">
      <c r="C667" s="3">
        <v>7.99</v>
      </c>
      <c r="D667" s="13">
        <v>55481</v>
      </c>
    </row>
    <row r="668" spans="3:4" x14ac:dyDescent="0.25">
      <c r="C668" s="3">
        <v>10.51</v>
      </c>
      <c r="D668" s="13">
        <v>12871</v>
      </c>
    </row>
    <row r="669" spans="3:4" x14ac:dyDescent="0.25">
      <c r="C669" s="3">
        <v>11.22</v>
      </c>
      <c r="D669" s="13">
        <v>2841</v>
      </c>
    </row>
    <row r="670" spans="3:4" x14ac:dyDescent="0.25">
      <c r="C670" s="3">
        <v>7.66</v>
      </c>
      <c r="D670" s="13">
        <v>67595</v>
      </c>
    </row>
    <row r="671" spans="3:4" x14ac:dyDescent="0.25">
      <c r="C671" s="3">
        <v>12.69</v>
      </c>
      <c r="D671" s="13">
        <v>106401</v>
      </c>
    </row>
    <row r="672" spans="3:4" x14ac:dyDescent="0.25">
      <c r="C672" s="3">
        <v>9.57</v>
      </c>
      <c r="D672" s="13">
        <v>21759</v>
      </c>
    </row>
    <row r="673" spans="3:4" x14ac:dyDescent="0.25">
      <c r="C673" s="3">
        <v>10.92</v>
      </c>
      <c r="D673" s="13">
        <v>100008</v>
      </c>
    </row>
    <row r="674" spans="3:4" x14ac:dyDescent="0.25">
      <c r="C674" s="3">
        <v>10.67</v>
      </c>
      <c r="D674" s="13">
        <v>114276</v>
      </c>
    </row>
    <row r="675" spans="3:4" x14ac:dyDescent="0.25">
      <c r="C675" s="3">
        <v>9.94</v>
      </c>
      <c r="D675" s="13">
        <v>16251</v>
      </c>
    </row>
    <row r="676" spans="3:4" x14ac:dyDescent="0.25">
      <c r="C676" s="3">
        <v>10.52</v>
      </c>
      <c r="D676" s="13">
        <v>12094</v>
      </c>
    </row>
    <row r="677" spans="3:4" x14ac:dyDescent="0.25">
      <c r="C677" s="3">
        <v>10.39</v>
      </c>
      <c r="D677" s="13">
        <v>9859</v>
      </c>
    </row>
    <row r="678" spans="3:4" x14ac:dyDescent="0.25">
      <c r="C678" s="3">
        <v>9.9</v>
      </c>
      <c r="D678" s="13">
        <v>10999</v>
      </c>
    </row>
    <row r="679" spans="3:4" x14ac:dyDescent="0.25">
      <c r="C679" s="3">
        <v>10.34</v>
      </c>
      <c r="D679" s="13">
        <v>15463</v>
      </c>
    </row>
    <row r="680" spans="3:4" x14ac:dyDescent="0.25">
      <c r="C680" s="3">
        <v>14.63</v>
      </c>
      <c r="D680" s="13">
        <v>115502</v>
      </c>
    </row>
    <row r="681" spans="3:4" x14ac:dyDescent="0.25">
      <c r="C681" s="3">
        <v>7.12</v>
      </c>
      <c r="D681" s="13">
        <v>18057</v>
      </c>
    </row>
    <row r="682" spans="3:4" x14ac:dyDescent="0.25">
      <c r="C682" s="3">
        <v>13.6</v>
      </c>
      <c r="D682" s="13">
        <v>31215</v>
      </c>
    </row>
    <row r="683" spans="3:4" x14ac:dyDescent="0.25">
      <c r="C683" s="3">
        <v>10.45</v>
      </c>
      <c r="D683" s="13">
        <v>115326</v>
      </c>
    </row>
    <row r="684" spans="3:4" x14ac:dyDescent="0.25">
      <c r="C684" s="3">
        <v>12.03</v>
      </c>
      <c r="D684" s="13">
        <v>30909</v>
      </c>
    </row>
    <row r="685" spans="3:4" x14ac:dyDescent="0.25">
      <c r="C685" s="3">
        <v>7.73</v>
      </c>
      <c r="D685" s="13">
        <v>25392</v>
      </c>
    </row>
    <row r="686" spans="3:4" x14ac:dyDescent="0.25">
      <c r="C686" s="3">
        <v>5.8</v>
      </c>
      <c r="D686" s="13">
        <v>6463</v>
      </c>
    </row>
    <row r="687" spans="3:4" x14ac:dyDescent="0.25">
      <c r="C687" s="3">
        <v>6.77</v>
      </c>
      <c r="D687" s="13">
        <v>3106</v>
      </c>
    </row>
    <row r="688" spans="3:4" x14ac:dyDescent="0.25">
      <c r="C688" s="3">
        <v>11.77</v>
      </c>
      <c r="D688" s="13">
        <v>100260</v>
      </c>
    </row>
    <row r="689" spans="3:4" x14ac:dyDescent="0.25">
      <c r="C689" s="3">
        <v>8.11</v>
      </c>
      <c r="D689" s="13">
        <v>24659</v>
      </c>
    </row>
    <row r="690" spans="3:4" x14ac:dyDescent="0.25">
      <c r="C690" s="3">
        <v>6.17</v>
      </c>
      <c r="D690" s="13">
        <v>11915</v>
      </c>
    </row>
    <row r="691" spans="3:4" x14ac:dyDescent="0.25">
      <c r="C691" s="3">
        <v>8.8000000000000007</v>
      </c>
      <c r="D691" s="13">
        <v>28111</v>
      </c>
    </row>
    <row r="692" spans="3:4" x14ac:dyDescent="0.25">
      <c r="C692" s="3">
        <v>8.7100000000000009</v>
      </c>
      <c r="D692" s="13">
        <v>19324</v>
      </c>
    </row>
    <row r="693" spans="3:4" x14ac:dyDescent="0.25">
      <c r="C693" s="3">
        <v>13.9</v>
      </c>
      <c r="D693" s="13">
        <v>13597</v>
      </c>
    </row>
    <row r="694" spans="3:4" x14ac:dyDescent="0.25">
      <c r="C694" s="3">
        <v>8.0299999999999994</v>
      </c>
      <c r="D694" s="13">
        <v>65591</v>
      </c>
    </row>
    <row r="695" spans="3:4" x14ac:dyDescent="0.25">
      <c r="C695" s="3">
        <v>10.38</v>
      </c>
      <c r="D695" s="13">
        <v>87016</v>
      </c>
    </row>
    <row r="696" spans="3:4" x14ac:dyDescent="0.25">
      <c r="C696" s="3">
        <v>9.1199999999999992</v>
      </c>
      <c r="D696" s="13">
        <v>5260</v>
      </c>
    </row>
    <row r="697" spans="3:4" x14ac:dyDescent="0.25">
      <c r="C697" s="3">
        <v>12.07</v>
      </c>
      <c r="D697" s="13">
        <v>20170</v>
      </c>
    </row>
    <row r="698" spans="3:4" x14ac:dyDescent="0.25">
      <c r="C698" s="3">
        <v>10.8</v>
      </c>
      <c r="D698" s="13">
        <v>5906</v>
      </c>
    </row>
    <row r="699" spans="3:4" x14ac:dyDescent="0.25">
      <c r="C699" s="3">
        <v>7.89</v>
      </c>
      <c r="D699" s="13">
        <v>5882</v>
      </c>
    </row>
    <row r="700" spans="3:4" x14ac:dyDescent="0.25">
      <c r="C700" s="3">
        <v>11.6</v>
      </c>
      <c r="D700" s="13">
        <v>8945</v>
      </c>
    </row>
    <row r="701" spans="3:4" x14ac:dyDescent="0.25">
      <c r="C701" s="3">
        <v>13.4</v>
      </c>
      <c r="D701" s="13">
        <v>8003</v>
      </c>
    </row>
    <row r="702" spans="3:4" x14ac:dyDescent="0.25">
      <c r="C702" s="3">
        <v>10.77</v>
      </c>
      <c r="D702" s="13">
        <v>72966</v>
      </c>
    </row>
    <row r="703" spans="3:4" x14ac:dyDescent="0.25">
      <c r="C703" s="3">
        <v>11.92</v>
      </c>
      <c r="D703" s="13">
        <v>100684</v>
      </c>
    </row>
    <row r="704" spans="3:4" x14ac:dyDescent="0.25">
      <c r="C704" s="3">
        <v>11.24</v>
      </c>
      <c r="D704" s="13">
        <v>27441</v>
      </c>
    </row>
    <row r="705" spans="3:4" x14ac:dyDescent="0.25">
      <c r="C705" s="3">
        <v>13.09</v>
      </c>
      <c r="D705" s="13">
        <v>8752</v>
      </c>
    </row>
    <row r="706" spans="3:4" x14ac:dyDescent="0.25">
      <c r="C706" s="3">
        <v>11.62</v>
      </c>
      <c r="D706" s="13">
        <v>5051</v>
      </c>
    </row>
    <row r="707" spans="3:4" x14ac:dyDescent="0.25">
      <c r="C707" s="3">
        <v>14.92</v>
      </c>
      <c r="D707" s="13">
        <v>23854</v>
      </c>
    </row>
    <row r="708" spans="3:4" x14ac:dyDescent="0.25">
      <c r="C708" s="3">
        <v>13.82</v>
      </c>
      <c r="D708" s="13">
        <v>23761</v>
      </c>
    </row>
    <row r="709" spans="3:4" x14ac:dyDescent="0.25">
      <c r="C709" s="3">
        <v>8.8000000000000007</v>
      </c>
      <c r="D709" s="13">
        <v>13463</v>
      </c>
    </row>
    <row r="710" spans="3:4" x14ac:dyDescent="0.25">
      <c r="C710" s="3">
        <v>9.85</v>
      </c>
      <c r="D710" s="13">
        <v>22327</v>
      </c>
    </row>
    <row r="711" spans="3:4" x14ac:dyDescent="0.25">
      <c r="C711" s="3">
        <v>10.97</v>
      </c>
      <c r="D711" s="13">
        <v>13438</v>
      </c>
    </row>
    <row r="712" spans="3:4" x14ac:dyDescent="0.25">
      <c r="C712" s="3">
        <v>12.69</v>
      </c>
      <c r="D712" s="13">
        <v>111001</v>
      </c>
    </row>
    <row r="713" spans="3:4" x14ac:dyDescent="0.25">
      <c r="C713" s="3">
        <v>9.56</v>
      </c>
      <c r="D713" s="13">
        <v>25661</v>
      </c>
    </row>
    <row r="714" spans="3:4" x14ac:dyDescent="0.25">
      <c r="C714" s="3">
        <v>10.17</v>
      </c>
      <c r="D714" s="13">
        <v>15283</v>
      </c>
    </row>
    <row r="715" spans="3:4" x14ac:dyDescent="0.25">
      <c r="C715" s="3">
        <v>9.25</v>
      </c>
      <c r="D715" s="13">
        <v>13673</v>
      </c>
    </row>
    <row r="716" spans="3:4" x14ac:dyDescent="0.25">
      <c r="C716" s="3">
        <v>11.73</v>
      </c>
      <c r="D716" s="13">
        <v>4319</v>
      </c>
    </row>
    <row r="717" spans="3:4" x14ac:dyDescent="0.25">
      <c r="C717" s="3">
        <v>7.85</v>
      </c>
      <c r="D717" s="13">
        <v>25268</v>
      </c>
    </row>
    <row r="718" spans="3:4" x14ac:dyDescent="0.25">
      <c r="C718" s="3">
        <v>10.23</v>
      </c>
      <c r="D718" s="13">
        <v>20777</v>
      </c>
    </row>
    <row r="719" spans="3:4" x14ac:dyDescent="0.25">
      <c r="C719" s="3">
        <v>13.49</v>
      </c>
      <c r="D719" s="13">
        <v>4961</v>
      </c>
    </row>
    <row r="720" spans="3:4" x14ac:dyDescent="0.25">
      <c r="C720" s="3">
        <v>7.53</v>
      </c>
      <c r="D720" s="13">
        <v>6144</v>
      </c>
    </row>
    <row r="721" spans="3:4" x14ac:dyDescent="0.25">
      <c r="C721" s="3">
        <v>9.6300000000000008</v>
      </c>
      <c r="D721" s="13">
        <v>30367</v>
      </c>
    </row>
    <row r="722" spans="3:4" x14ac:dyDescent="0.25">
      <c r="C722" s="3">
        <v>7.54</v>
      </c>
      <c r="D722" s="13">
        <v>23917</v>
      </c>
    </row>
    <row r="723" spans="3:4" x14ac:dyDescent="0.25">
      <c r="C723" s="3">
        <v>8.11</v>
      </c>
      <c r="D723" s="13">
        <v>32782</v>
      </c>
    </row>
    <row r="724" spans="3:4" x14ac:dyDescent="0.25">
      <c r="C724" s="3">
        <v>12.22</v>
      </c>
      <c r="D724" s="13">
        <v>27120</v>
      </c>
    </row>
    <row r="725" spans="3:4" x14ac:dyDescent="0.25">
      <c r="C725" s="3">
        <v>11.15</v>
      </c>
      <c r="D725" s="13">
        <v>30579</v>
      </c>
    </row>
    <row r="726" spans="3:4" x14ac:dyDescent="0.25">
      <c r="C726" s="3">
        <v>13.55</v>
      </c>
      <c r="D726" s="13">
        <v>24689</v>
      </c>
    </row>
    <row r="727" spans="3:4" x14ac:dyDescent="0.25">
      <c r="C727" s="3">
        <v>12.2</v>
      </c>
      <c r="D727" s="13">
        <v>28161</v>
      </c>
    </row>
    <row r="728" spans="3:4" x14ac:dyDescent="0.25">
      <c r="C728" s="3">
        <v>12.47</v>
      </c>
      <c r="D728" s="13">
        <v>32448</v>
      </c>
    </row>
    <row r="729" spans="3:4" x14ac:dyDescent="0.25">
      <c r="C729" s="3">
        <v>11.8</v>
      </c>
      <c r="D729" s="13">
        <v>3158</v>
      </c>
    </row>
    <row r="730" spans="3:4" x14ac:dyDescent="0.25">
      <c r="C730" s="3">
        <v>9.02</v>
      </c>
      <c r="D730" s="13">
        <v>25265</v>
      </c>
    </row>
    <row r="731" spans="3:4" x14ac:dyDescent="0.25">
      <c r="C731" s="3">
        <v>13.02</v>
      </c>
      <c r="D731" s="13">
        <v>102331</v>
      </c>
    </row>
    <row r="732" spans="3:4" x14ac:dyDescent="0.25">
      <c r="C732" s="3">
        <v>9.4700000000000006</v>
      </c>
      <c r="D732" s="13">
        <v>16662</v>
      </c>
    </row>
    <row r="733" spans="3:4" x14ac:dyDescent="0.25">
      <c r="C733" s="3">
        <v>7.25</v>
      </c>
      <c r="D733" s="13">
        <v>41644</v>
      </c>
    </row>
    <row r="734" spans="3:4" x14ac:dyDescent="0.25">
      <c r="C734" s="3">
        <v>13.43</v>
      </c>
      <c r="D734" s="13">
        <v>5544</v>
      </c>
    </row>
    <row r="735" spans="3:4" x14ac:dyDescent="0.25">
      <c r="C735" s="3">
        <v>12.03</v>
      </c>
      <c r="D735" s="13">
        <v>16953</v>
      </c>
    </row>
    <row r="736" spans="3:4" x14ac:dyDescent="0.25">
      <c r="C736" s="3">
        <v>8.14</v>
      </c>
      <c r="D736" s="13">
        <v>48405</v>
      </c>
    </row>
    <row r="737" spans="3:4" x14ac:dyDescent="0.25">
      <c r="C737" s="3">
        <v>7.13</v>
      </c>
      <c r="D737" s="13">
        <v>25164</v>
      </c>
    </row>
    <row r="738" spans="3:4" x14ac:dyDescent="0.25">
      <c r="C738" s="3">
        <v>10.029999999999999</v>
      </c>
      <c r="D738" s="13">
        <v>10587</v>
      </c>
    </row>
    <row r="739" spans="3:4" x14ac:dyDescent="0.25">
      <c r="C739" s="3">
        <v>9.09</v>
      </c>
      <c r="D739" s="13">
        <v>23618</v>
      </c>
    </row>
    <row r="740" spans="3:4" x14ac:dyDescent="0.25">
      <c r="C740" s="3">
        <v>10.7</v>
      </c>
      <c r="D740" s="13">
        <v>35018</v>
      </c>
    </row>
    <row r="741" spans="3:4" x14ac:dyDescent="0.25">
      <c r="C741" s="3">
        <v>11.59</v>
      </c>
      <c r="D741" s="13">
        <v>23960</v>
      </c>
    </row>
    <row r="742" spans="3:4" x14ac:dyDescent="0.25">
      <c r="C742" s="3">
        <v>12.8</v>
      </c>
      <c r="D742" s="13">
        <v>101048</v>
      </c>
    </row>
    <row r="743" spans="3:4" x14ac:dyDescent="0.25">
      <c r="C743" s="3">
        <v>7.9</v>
      </c>
      <c r="D743" s="13">
        <v>8711</v>
      </c>
    </row>
    <row r="744" spans="3:4" x14ac:dyDescent="0.25">
      <c r="C744" s="3">
        <v>10.58</v>
      </c>
      <c r="D744" s="13">
        <v>90473</v>
      </c>
    </row>
    <row r="745" spans="3:4" x14ac:dyDescent="0.25">
      <c r="C745" s="3">
        <v>11.83</v>
      </c>
      <c r="D745" s="13">
        <v>111464</v>
      </c>
    </row>
    <row r="746" spans="3:4" x14ac:dyDescent="0.25">
      <c r="C746" s="3">
        <v>8.01</v>
      </c>
      <c r="D746" s="13">
        <v>21511</v>
      </c>
    </row>
    <row r="747" spans="3:4" x14ac:dyDescent="0.25">
      <c r="C747" s="3">
        <v>9.7200000000000006</v>
      </c>
      <c r="D747" s="13">
        <v>45616</v>
      </c>
    </row>
    <row r="748" spans="3:4" x14ac:dyDescent="0.25">
      <c r="C748" s="3">
        <v>11.37</v>
      </c>
      <c r="D748" s="13">
        <v>108136</v>
      </c>
    </row>
    <row r="749" spans="3:4" x14ac:dyDescent="0.25">
      <c r="C749" s="3">
        <v>8.8699999999999992</v>
      </c>
      <c r="D749" s="13">
        <v>9395</v>
      </c>
    </row>
    <row r="750" spans="3:4" x14ac:dyDescent="0.25">
      <c r="C750" s="3">
        <v>8.8000000000000007</v>
      </c>
      <c r="D750" s="13">
        <v>22068</v>
      </c>
    </row>
    <row r="751" spans="3:4" x14ac:dyDescent="0.25">
      <c r="C751" s="3">
        <v>10.039999999999999</v>
      </c>
      <c r="D751" s="13">
        <v>24776</v>
      </c>
    </row>
    <row r="752" spans="3:4" x14ac:dyDescent="0.25">
      <c r="C752" s="3">
        <v>9</v>
      </c>
      <c r="D752" s="13">
        <v>29345</v>
      </c>
    </row>
    <row r="753" spans="3:4" x14ac:dyDescent="0.25">
      <c r="C753" s="3">
        <v>7.25</v>
      </c>
      <c r="D753" s="13">
        <v>4068</v>
      </c>
    </row>
    <row r="754" spans="3:4" x14ac:dyDescent="0.25">
      <c r="C754" s="3">
        <v>12</v>
      </c>
      <c r="D754" s="13">
        <v>21392</v>
      </c>
    </row>
    <row r="755" spans="3:4" x14ac:dyDescent="0.25">
      <c r="C755" s="3">
        <v>10.29</v>
      </c>
      <c r="D755" s="13">
        <v>7656</v>
      </c>
    </row>
    <row r="756" spans="3:4" x14ac:dyDescent="0.25">
      <c r="C756" s="3">
        <v>8.8000000000000007</v>
      </c>
      <c r="D756" s="13">
        <v>48848</v>
      </c>
    </row>
    <row r="757" spans="3:4" x14ac:dyDescent="0.25">
      <c r="C757" s="3">
        <v>9.66</v>
      </c>
      <c r="D757" s="13">
        <v>4766</v>
      </c>
    </row>
    <row r="758" spans="3:4" x14ac:dyDescent="0.25">
      <c r="C758" s="3">
        <v>12.64</v>
      </c>
      <c r="D758" s="13">
        <v>35526</v>
      </c>
    </row>
    <row r="759" spans="3:4" x14ac:dyDescent="0.25">
      <c r="C759" s="3">
        <v>7.59</v>
      </c>
      <c r="D759" s="13">
        <v>29584</v>
      </c>
    </row>
    <row r="760" spans="3:4" x14ac:dyDescent="0.25">
      <c r="C760" s="3">
        <v>11.21</v>
      </c>
      <c r="D760" s="13">
        <v>42821</v>
      </c>
    </row>
    <row r="761" spans="3:4" x14ac:dyDescent="0.25">
      <c r="C761" s="3">
        <v>9.2200000000000006</v>
      </c>
      <c r="D761" s="13">
        <v>12578</v>
      </c>
    </row>
    <row r="762" spans="3:4" x14ac:dyDescent="0.25">
      <c r="C762" s="3">
        <v>7.6</v>
      </c>
      <c r="D762" s="13">
        <v>19965</v>
      </c>
    </row>
    <row r="763" spans="3:4" x14ac:dyDescent="0.25">
      <c r="C763" s="3">
        <v>9.2799999999999994</v>
      </c>
      <c r="D763" s="13">
        <v>57664</v>
      </c>
    </row>
    <row r="764" spans="3:4" x14ac:dyDescent="0.25">
      <c r="C764" s="3">
        <v>12.48</v>
      </c>
      <c r="D764" s="13">
        <v>13572</v>
      </c>
    </row>
    <row r="765" spans="3:4" x14ac:dyDescent="0.25">
      <c r="C765" s="3">
        <v>12.72</v>
      </c>
      <c r="D765" s="13">
        <v>90769</v>
      </c>
    </row>
    <row r="766" spans="3:4" x14ac:dyDescent="0.25">
      <c r="C766" s="3">
        <v>11.53</v>
      </c>
      <c r="D766" s="13">
        <v>9814</v>
      </c>
    </row>
    <row r="767" spans="3:4" x14ac:dyDescent="0.25">
      <c r="C767" s="3">
        <v>11.73</v>
      </c>
      <c r="D767" s="13">
        <v>6042</v>
      </c>
    </row>
    <row r="768" spans="3:4" x14ac:dyDescent="0.25">
      <c r="C768" s="3">
        <v>9.0299999999999994</v>
      </c>
      <c r="D768" s="13">
        <v>47602</v>
      </c>
    </row>
    <row r="769" spans="3:4" x14ac:dyDescent="0.25">
      <c r="C769" s="3">
        <v>8.68</v>
      </c>
      <c r="D769" s="13">
        <v>7677</v>
      </c>
    </row>
    <row r="770" spans="3:4" x14ac:dyDescent="0.25">
      <c r="C770" s="3">
        <v>8.39</v>
      </c>
      <c r="D770" s="13">
        <v>22738</v>
      </c>
    </row>
    <row r="771" spans="3:4" x14ac:dyDescent="0.25">
      <c r="C771" s="3">
        <v>10.61</v>
      </c>
      <c r="D771" s="13">
        <v>29607</v>
      </c>
    </row>
    <row r="772" spans="3:4" x14ac:dyDescent="0.25">
      <c r="C772" s="3">
        <v>10.77</v>
      </c>
      <c r="D772" s="13">
        <v>20157</v>
      </c>
    </row>
    <row r="773" spans="3:4" x14ac:dyDescent="0.25">
      <c r="C773" s="3">
        <v>9.67</v>
      </c>
      <c r="D773" s="13">
        <v>17627</v>
      </c>
    </row>
    <row r="774" spans="3:4" x14ac:dyDescent="0.25">
      <c r="C774" s="3">
        <v>13.23</v>
      </c>
      <c r="D774" s="13">
        <v>35798</v>
      </c>
    </row>
    <row r="775" spans="3:4" x14ac:dyDescent="0.25">
      <c r="C775" s="3">
        <v>6.49</v>
      </c>
      <c r="D775" s="13">
        <v>17333</v>
      </c>
    </row>
    <row r="776" spans="3:4" x14ac:dyDescent="0.25">
      <c r="C776" s="3">
        <v>12.03</v>
      </c>
      <c r="D776" s="13">
        <v>69853</v>
      </c>
    </row>
    <row r="777" spans="3:4" x14ac:dyDescent="0.25">
      <c r="C777" s="3">
        <v>8.9</v>
      </c>
      <c r="D777" s="13">
        <v>27877</v>
      </c>
    </row>
    <row r="778" spans="3:4" x14ac:dyDescent="0.25">
      <c r="C778" s="3">
        <v>12.16</v>
      </c>
      <c r="D778" s="13">
        <v>31993</v>
      </c>
    </row>
    <row r="779" spans="3:4" x14ac:dyDescent="0.25">
      <c r="C779" s="3">
        <v>9.6300000000000008</v>
      </c>
      <c r="D779" s="13">
        <v>44371</v>
      </c>
    </row>
    <row r="780" spans="3:4" x14ac:dyDescent="0.25">
      <c r="C780" s="3">
        <v>11.4</v>
      </c>
      <c r="D780" s="13">
        <v>18154</v>
      </c>
    </row>
    <row r="781" spans="3:4" x14ac:dyDescent="0.25">
      <c r="C781" s="3">
        <v>11.11</v>
      </c>
      <c r="D781" s="13">
        <v>26401</v>
      </c>
    </row>
    <row r="782" spans="3:4" x14ac:dyDescent="0.25">
      <c r="C782" s="3">
        <v>10.77</v>
      </c>
      <c r="D782" s="13">
        <v>17467</v>
      </c>
    </row>
    <row r="783" spans="3:4" x14ac:dyDescent="0.25">
      <c r="C783" s="3">
        <v>13.27</v>
      </c>
      <c r="D783" s="13">
        <v>18621</v>
      </c>
    </row>
    <row r="784" spans="3:4" x14ac:dyDescent="0.25">
      <c r="C784" s="3">
        <v>11.44</v>
      </c>
      <c r="D784" s="13">
        <v>14836</v>
      </c>
    </row>
    <row r="785" spans="3:4" x14ac:dyDescent="0.25">
      <c r="C785" s="3">
        <v>9.6300000000000008</v>
      </c>
      <c r="D785" s="13">
        <v>24675</v>
      </c>
    </row>
    <row r="786" spans="3:4" x14ac:dyDescent="0.25">
      <c r="C786" s="3">
        <v>8.1300000000000008</v>
      </c>
      <c r="D786" s="13">
        <v>45648</v>
      </c>
    </row>
    <row r="787" spans="3:4" x14ac:dyDescent="0.25">
      <c r="C787" s="3">
        <v>13.71</v>
      </c>
      <c r="D787" s="13">
        <v>2867</v>
      </c>
    </row>
    <row r="788" spans="3:4" x14ac:dyDescent="0.25">
      <c r="C788" s="3">
        <v>11.99</v>
      </c>
      <c r="D788" s="13">
        <v>23465</v>
      </c>
    </row>
    <row r="789" spans="3:4" x14ac:dyDescent="0.25">
      <c r="C789" s="3">
        <v>9.1999999999999993</v>
      </c>
      <c r="D789" s="13">
        <v>61301</v>
      </c>
    </row>
    <row r="790" spans="3:4" x14ac:dyDescent="0.25">
      <c r="C790" s="3">
        <v>9.75</v>
      </c>
      <c r="D790" s="13">
        <v>10876</v>
      </c>
    </row>
    <row r="791" spans="3:4" x14ac:dyDescent="0.25">
      <c r="C791" s="3">
        <v>9.23</v>
      </c>
      <c r="D791" s="13">
        <v>16035</v>
      </c>
    </row>
    <row r="792" spans="3:4" x14ac:dyDescent="0.25">
      <c r="C792" s="3">
        <v>12.32</v>
      </c>
      <c r="D792" s="13">
        <v>31853</v>
      </c>
    </row>
    <row r="793" spans="3:4" x14ac:dyDescent="0.25">
      <c r="C793" s="3">
        <v>12.29</v>
      </c>
      <c r="D793" s="13">
        <v>4793</v>
      </c>
    </row>
    <row r="794" spans="3:4" x14ac:dyDescent="0.25">
      <c r="C794" s="3">
        <v>7.5</v>
      </c>
      <c r="D794" s="13">
        <v>13024</v>
      </c>
    </row>
    <row r="795" spans="3:4" x14ac:dyDescent="0.25">
      <c r="C795" s="3">
        <v>9.9700000000000006</v>
      </c>
      <c r="D795" s="13">
        <v>33645</v>
      </c>
    </row>
    <row r="796" spans="3:4" x14ac:dyDescent="0.25">
      <c r="C796" s="3">
        <v>13.93</v>
      </c>
      <c r="D796" s="13">
        <v>14156</v>
      </c>
    </row>
    <row r="797" spans="3:4" x14ac:dyDescent="0.25">
      <c r="C797" s="3">
        <v>9.1999999999999993</v>
      </c>
      <c r="D797" s="13">
        <v>3131</v>
      </c>
    </row>
    <row r="798" spans="3:4" x14ac:dyDescent="0.25">
      <c r="C798" s="3">
        <v>7.73</v>
      </c>
      <c r="D798" s="13">
        <v>6830</v>
      </c>
    </row>
    <row r="799" spans="3:4" x14ac:dyDescent="0.25">
      <c r="C799" s="3">
        <v>6.97</v>
      </c>
      <c r="D799" s="13">
        <v>52990</v>
      </c>
    </row>
    <row r="800" spans="3:4" x14ac:dyDescent="0.25">
      <c r="C800" s="3">
        <v>10.64</v>
      </c>
      <c r="D800" s="13">
        <v>18024</v>
      </c>
    </row>
    <row r="801" spans="3:4" x14ac:dyDescent="0.25">
      <c r="C801" s="3">
        <v>9.5</v>
      </c>
      <c r="D801" s="13">
        <v>45777</v>
      </c>
    </row>
    <row r="802" spans="3:4" x14ac:dyDescent="0.25">
      <c r="C802" s="3">
        <v>14.74</v>
      </c>
      <c r="D802" s="13">
        <v>10665</v>
      </c>
    </row>
    <row r="803" spans="3:4" x14ac:dyDescent="0.25">
      <c r="C803" s="3">
        <v>7.63</v>
      </c>
      <c r="D803" s="13">
        <v>11799</v>
      </c>
    </row>
    <row r="804" spans="3:4" x14ac:dyDescent="0.25">
      <c r="C804" s="3">
        <v>11.03</v>
      </c>
      <c r="D804" s="13">
        <v>29620</v>
      </c>
    </row>
    <row r="805" spans="3:4" x14ac:dyDescent="0.25">
      <c r="C805" s="3">
        <v>8.26</v>
      </c>
      <c r="D805" s="13">
        <v>44761</v>
      </c>
    </row>
    <row r="806" spans="3:4" x14ac:dyDescent="0.25">
      <c r="C806" s="3">
        <v>8.73</v>
      </c>
      <c r="D806" s="13">
        <v>17617</v>
      </c>
    </row>
    <row r="807" spans="3:4" x14ac:dyDescent="0.25">
      <c r="C807" s="3">
        <v>11.99</v>
      </c>
      <c r="D807" s="13">
        <v>35785</v>
      </c>
    </row>
    <row r="808" spans="3:4" x14ac:dyDescent="0.25">
      <c r="C808" s="3">
        <v>7.43</v>
      </c>
      <c r="D808" s="13">
        <v>5258</v>
      </c>
    </row>
    <row r="809" spans="3:4" x14ac:dyDescent="0.25">
      <c r="C809" s="3">
        <v>14.08</v>
      </c>
      <c r="D809" s="13">
        <v>96982</v>
      </c>
    </row>
    <row r="810" spans="3:4" x14ac:dyDescent="0.25">
      <c r="C810" s="3">
        <v>8.84</v>
      </c>
      <c r="D810" s="13">
        <v>4540</v>
      </c>
    </row>
    <row r="811" spans="3:4" x14ac:dyDescent="0.25">
      <c r="C811" s="3">
        <v>11.94</v>
      </c>
      <c r="D811" s="13">
        <v>19330</v>
      </c>
    </row>
    <row r="812" spans="3:4" x14ac:dyDescent="0.25">
      <c r="C812" s="3">
        <v>13.81</v>
      </c>
      <c r="D812" s="13">
        <v>71192</v>
      </c>
    </row>
    <row r="813" spans="3:4" x14ac:dyDescent="0.25">
      <c r="C813" s="3">
        <v>12.19</v>
      </c>
      <c r="D813" s="13">
        <v>5342</v>
      </c>
    </row>
    <row r="814" spans="3:4" x14ac:dyDescent="0.25">
      <c r="C814" s="3">
        <v>10.050000000000001</v>
      </c>
      <c r="D814" s="13">
        <v>2829</v>
      </c>
    </row>
    <row r="815" spans="3:4" x14ac:dyDescent="0.25">
      <c r="C815" s="3">
        <v>8.61</v>
      </c>
      <c r="D815" s="13">
        <v>8274</v>
      </c>
    </row>
    <row r="816" spans="3:4" x14ac:dyDescent="0.25">
      <c r="C816" s="3">
        <v>10.27</v>
      </c>
      <c r="D816" s="13">
        <v>23537</v>
      </c>
    </row>
    <row r="817" spans="3:4" x14ac:dyDescent="0.25">
      <c r="C817" s="3">
        <v>14.31</v>
      </c>
      <c r="D817" s="13">
        <v>15902</v>
      </c>
    </row>
    <row r="818" spans="3:4" x14ac:dyDescent="0.25">
      <c r="C818" s="3">
        <v>7</v>
      </c>
      <c r="D818" s="13">
        <v>27534</v>
      </c>
    </row>
    <row r="819" spans="3:4" x14ac:dyDescent="0.25">
      <c r="C819" s="3">
        <v>7.5</v>
      </c>
      <c r="D819" s="13">
        <v>11072</v>
      </c>
    </row>
    <row r="820" spans="3:4" x14ac:dyDescent="0.25">
      <c r="C820" s="3">
        <v>11.48</v>
      </c>
      <c r="D820" s="13">
        <v>13961</v>
      </c>
    </row>
    <row r="821" spans="3:4" x14ac:dyDescent="0.25">
      <c r="C821" s="3">
        <v>10.49</v>
      </c>
      <c r="D821" s="13">
        <v>4695</v>
      </c>
    </row>
    <row r="822" spans="3:4" x14ac:dyDescent="0.25">
      <c r="C822" s="3">
        <v>8.08</v>
      </c>
      <c r="D822" s="13">
        <v>7107</v>
      </c>
    </row>
    <row r="823" spans="3:4" x14ac:dyDescent="0.25">
      <c r="C823" s="3">
        <v>12.37</v>
      </c>
      <c r="D823" s="13">
        <v>8994</v>
      </c>
    </row>
    <row r="824" spans="3:4" x14ac:dyDescent="0.25">
      <c r="C824" s="3">
        <v>8.7100000000000009</v>
      </c>
      <c r="D824" s="13">
        <v>58503</v>
      </c>
    </row>
    <row r="825" spans="3:4" x14ac:dyDescent="0.25">
      <c r="C825" s="3">
        <v>11.84</v>
      </c>
      <c r="D825" s="13">
        <v>137839</v>
      </c>
    </row>
    <row r="826" spans="3:4" x14ac:dyDescent="0.25">
      <c r="C826" s="3">
        <v>11.23</v>
      </c>
      <c r="D826" s="13">
        <v>18615</v>
      </c>
    </row>
    <row r="827" spans="3:4" x14ac:dyDescent="0.25">
      <c r="C827" s="3">
        <v>5.89</v>
      </c>
      <c r="D827" s="13">
        <v>6702</v>
      </c>
    </row>
    <row r="828" spans="3:4" x14ac:dyDescent="0.25">
      <c r="C828" s="3">
        <v>10.38</v>
      </c>
      <c r="D828" s="13">
        <v>4055</v>
      </c>
    </row>
    <row r="829" spans="3:4" x14ac:dyDescent="0.25">
      <c r="C829" s="3">
        <v>9.94</v>
      </c>
      <c r="D829" s="13">
        <v>20548</v>
      </c>
    </row>
    <row r="830" spans="3:4" x14ac:dyDescent="0.25">
      <c r="C830" s="3">
        <v>8.11</v>
      </c>
      <c r="D830" s="13">
        <v>31309</v>
      </c>
    </row>
    <row r="831" spans="3:4" x14ac:dyDescent="0.25">
      <c r="C831" s="3">
        <v>10.61</v>
      </c>
      <c r="D831" s="13">
        <v>40173</v>
      </c>
    </row>
    <row r="832" spans="3:4" x14ac:dyDescent="0.25">
      <c r="C832" s="3">
        <v>10.6</v>
      </c>
      <c r="D832" s="13">
        <v>109535</v>
      </c>
    </row>
    <row r="833" spans="3:4" x14ac:dyDescent="0.25">
      <c r="C833" s="3">
        <v>9.34</v>
      </c>
      <c r="D833" s="13">
        <v>51934</v>
      </c>
    </row>
    <row r="834" spans="3:4" x14ac:dyDescent="0.25">
      <c r="C834" s="3">
        <v>10.26</v>
      </c>
      <c r="D834" s="13">
        <v>98994</v>
      </c>
    </row>
    <row r="835" spans="3:4" x14ac:dyDescent="0.25">
      <c r="C835" s="3">
        <v>7.28</v>
      </c>
      <c r="D835" s="13">
        <v>15294</v>
      </c>
    </row>
    <row r="836" spans="3:4" x14ac:dyDescent="0.25">
      <c r="C836" s="3">
        <v>11.03</v>
      </c>
      <c r="D836" s="13">
        <v>33484</v>
      </c>
    </row>
    <row r="837" spans="3:4" x14ac:dyDescent="0.25">
      <c r="C837" s="3">
        <v>8.61</v>
      </c>
      <c r="D837" s="13">
        <v>13166</v>
      </c>
    </row>
    <row r="838" spans="3:4" x14ac:dyDescent="0.25">
      <c r="C838" s="3">
        <v>7.95</v>
      </c>
      <c r="D838" s="13">
        <v>11799</v>
      </c>
    </row>
    <row r="839" spans="3:4" x14ac:dyDescent="0.25">
      <c r="C839" s="3">
        <v>11.46</v>
      </c>
      <c r="D839" s="13">
        <v>29360</v>
      </c>
    </row>
    <row r="840" spans="3:4" x14ac:dyDescent="0.25">
      <c r="C840" s="3">
        <v>11.27</v>
      </c>
      <c r="D840" s="13">
        <v>13444</v>
      </c>
    </row>
    <row r="841" spans="3:4" x14ac:dyDescent="0.25">
      <c r="C841" s="3">
        <v>11.99</v>
      </c>
      <c r="D841" s="13">
        <v>17901</v>
      </c>
    </row>
    <row r="842" spans="3:4" x14ac:dyDescent="0.25">
      <c r="C842" s="3">
        <v>10.5</v>
      </c>
      <c r="D842" s="13">
        <v>11006</v>
      </c>
    </row>
    <row r="843" spans="3:4" x14ac:dyDescent="0.25">
      <c r="C843" s="3">
        <v>9.44</v>
      </c>
      <c r="D843" s="13">
        <v>29144</v>
      </c>
    </row>
    <row r="844" spans="3:4" x14ac:dyDescent="0.25">
      <c r="C844" s="3">
        <v>7.82</v>
      </c>
      <c r="D844" s="13">
        <v>16006</v>
      </c>
    </row>
    <row r="845" spans="3:4" x14ac:dyDescent="0.25">
      <c r="C845" s="3">
        <v>10.45</v>
      </c>
      <c r="D845" s="13">
        <v>31555</v>
      </c>
    </row>
    <row r="846" spans="3:4" x14ac:dyDescent="0.25">
      <c r="C846" s="3">
        <v>10.37</v>
      </c>
      <c r="D846" s="13">
        <v>3816</v>
      </c>
    </row>
    <row r="847" spans="3:4" x14ac:dyDescent="0.25">
      <c r="C847" s="3">
        <v>8.23</v>
      </c>
      <c r="D847" s="13">
        <v>30810</v>
      </c>
    </row>
    <row r="848" spans="3:4" x14ac:dyDescent="0.25">
      <c r="C848" s="3">
        <v>10.93</v>
      </c>
      <c r="D848" s="13">
        <v>90053</v>
      </c>
    </row>
    <row r="849" spans="3:4" x14ac:dyDescent="0.25">
      <c r="C849" s="3">
        <v>9.94</v>
      </c>
      <c r="D849" s="13">
        <v>68835</v>
      </c>
    </row>
    <row r="850" spans="3:4" x14ac:dyDescent="0.25">
      <c r="C850" s="3">
        <v>10.17</v>
      </c>
      <c r="D850" s="13">
        <v>25180</v>
      </c>
    </row>
    <row r="851" spans="3:4" x14ac:dyDescent="0.25">
      <c r="C851" s="3">
        <v>10.82</v>
      </c>
      <c r="D851" s="13">
        <v>112522</v>
      </c>
    </row>
    <row r="852" spans="3:4" x14ac:dyDescent="0.25">
      <c r="C852" s="3">
        <v>11.4</v>
      </c>
      <c r="D852" s="13">
        <v>24682</v>
      </c>
    </row>
    <row r="853" spans="3:4" x14ac:dyDescent="0.25">
      <c r="C853" s="3">
        <v>16.79</v>
      </c>
      <c r="D853" s="13">
        <v>6095</v>
      </c>
    </row>
    <row r="854" spans="3:4" x14ac:dyDescent="0.25">
      <c r="C854" s="3">
        <v>8.0299999999999994</v>
      </c>
      <c r="D854" s="13">
        <v>7435</v>
      </c>
    </row>
    <row r="855" spans="3:4" x14ac:dyDescent="0.25">
      <c r="C855" s="3">
        <v>10.92</v>
      </c>
      <c r="D855" s="13">
        <v>26504</v>
      </c>
    </row>
    <row r="856" spans="3:4" x14ac:dyDescent="0.25">
      <c r="C856" s="3">
        <v>10.26</v>
      </c>
      <c r="D856" s="13">
        <v>93175</v>
      </c>
    </row>
    <row r="857" spans="3:4" x14ac:dyDescent="0.25">
      <c r="C857" s="3">
        <v>10.77</v>
      </c>
      <c r="D857" s="13">
        <v>35299</v>
      </c>
    </row>
    <row r="858" spans="3:4" x14ac:dyDescent="0.25">
      <c r="C858" s="3">
        <v>11.84</v>
      </c>
      <c r="D858" s="13">
        <v>105279</v>
      </c>
    </row>
    <row r="859" spans="3:4" x14ac:dyDescent="0.25">
      <c r="C859" s="3">
        <v>7.92</v>
      </c>
      <c r="D859" s="13">
        <v>29324</v>
      </c>
    </row>
    <row r="860" spans="3:4" x14ac:dyDescent="0.25">
      <c r="C860" s="3">
        <v>7.95</v>
      </c>
      <c r="D860" s="13">
        <v>60267</v>
      </c>
    </row>
    <row r="861" spans="3:4" x14ac:dyDescent="0.25">
      <c r="C861" s="3">
        <v>9.8699999999999992</v>
      </c>
      <c r="D861" s="13">
        <v>4688</v>
      </c>
    </row>
    <row r="862" spans="3:4" x14ac:dyDescent="0.25">
      <c r="C862" s="3">
        <v>11.04</v>
      </c>
      <c r="D862" s="13">
        <v>102435</v>
      </c>
    </row>
    <row r="863" spans="3:4" x14ac:dyDescent="0.25">
      <c r="C863" s="3">
        <v>8.0399999999999991</v>
      </c>
      <c r="D863" s="13">
        <v>39545</v>
      </c>
    </row>
    <row r="864" spans="3:4" x14ac:dyDescent="0.25">
      <c r="C864" s="3">
        <v>10.74</v>
      </c>
      <c r="D864" s="13">
        <v>45545</v>
      </c>
    </row>
    <row r="865" spans="3:4" x14ac:dyDescent="0.25">
      <c r="C865" s="3">
        <v>9.3699999999999992</v>
      </c>
      <c r="D865" s="13">
        <v>27414</v>
      </c>
    </row>
    <row r="866" spans="3:4" x14ac:dyDescent="0.25">
      <c r="C866" s="3">
        <v>15.87</v>
      </c>
      <c r="D866" s="13">
        <v>115284</v>
      </c>
    </row>
    <row r="867" spans="3:4" x14ac:dyDescent="0.25">
      <c r="C867" s="3">
        <v>9.33</v>
      </c>
      <c r="D867" s="13">
        <v>17878</v>
      </c>
    </row>
    <row r="868" spans="3:4" x14ac:dyDescent="0.25">
      <c r="C868" s="3">
        <v>11.18</v>
      </c>
      <c r="D868" s="13">
        <v>30674</v>
      </c>
    </row>
    <row r="869" spans="3:4" x14ac:dyDescent="0.25">
      <c r="C869" s="3">
        <v>6.62</v>
      </c>
      <c r="D869" s="13">
        <v>13645</v>
      </c>
    </row>
    <row r="870" spans="3:4" x14ac:dyDescent="0.25">
      <c r="C870" s="3">
        <v>8.4700000000000006</v>
      </c>
      <c r="D870" s="13">
        <v>21956</v>
      </c>
    </row>
    <row r="871" spans="3:4" x14ac:dyDescent="0.25">
      <c r="C871" s="3">
        <v>9.9700000000000006</v>
      </c>
      <c r="D871" s="13">
        <v>16501</v>
      </c>
    </row>
    <row r="872" spans="3:4" x14ac:dyDescent="0.25">
      <c r="C872" s="3">
        <v>12.43</v>
      </c>
      <c r="D872" s="13">
        <v>2854</v>
      </c>
    </row>
    <row r="873" spans="3:4" x14ac:dyDescent="0.25">
      <c r="C873" s="3">
        <v>14.57</v>
      </c>
      <c r="D873" s="13">
        <v>28940</v>
      </c>
    </row>
    <row r="874" spans="3:4" x14ac:dyDescent="0.25">
      <c r="C874" s="3">
        <v>7.89</v>
      </c>
      <c r="D874" s="13">
        <v>32824</v>
      </c>
    </row>
    <row r="875" spans="3:4" x14ac:dyDescent="0.25">
      <c r="C875" s="3">
        <v>8.1</v>
      </c>
      <c r="D875" s="13">
        <v>10979</v>
      </c>
    </row>
    <row r="876" spans="3:4" x14ac:dyDescent="0.25">
      <c r="C876" s="3">
        <v>12.07</v>
      </c>
      <c r="D876" s="13">
        <v>21145</v>
      </c>
    </row>
    <row r="877" spans="3:4" x14ac:dyDescent="0.25">
      <c r="C877" s="3">
        <v>9.83</v>
      </c>
      <c r="D877" s="13">
        <v>8481</v>
      </c>
    </row>
    <row r="878" spans="3:4" x14ac:dyDescent="0.25">
      <c r="C878" s="3">
        <v>8.2899999999999991</v>
      </c>
      <c r="D878" s="13">
        <v>14917</v>
      </c>
    </row>
    <row r="879" spans="3:4" x14ac:dyDescent="0.25">
      <c r="C879" s="3">
        <v>10.029999999999999</v>
      </c>
      <c r="D879" s="13">
        <v>17123</v>
      </c>
    </row>
    <row r="880" spans="3:4" x14ac:dyDescent="0.25">
      <c r="C880" s="3">
        <v>7.28</v>
      </c>
      <c r="D880" s="13">
        <v>22228</v>
      </c>
    </row>
    <row r="881" spans="3:4" x14ac:dyDescent="0.25">
      <c r="C881" s="3">
        <v>9.3699999999999992</v>
      </c>
      <c r="D881" s="13">
        <v>6725</v>
      </c>
    </row>
    <row r="882" spans="3:4" x14ac:dyDescent="0.25">
      <c r="C882" s="3">
        <v>9.0299999999999994</v>
      </c>
      <c r="D882" s="13">
        <v>65351</v>
      </c>
    </row>
    <row r="883" spans="3:4" x14ac:dyDescent="0.25">
      <c r="C883" s="3">
        <v>11.15</v>
      </c>
      <c r="D883" s="13">
        <v>16634</v>
      </c>
    </row>
    <row r="884" spans="3:4" x14ac:dyDescent="0.25">
      <c r="C884" s="3">
        <v>9.6</v>
      </c>
      <c r="D884" s="13">
        <v>15706</v>
      </c>
    </row>
    <row r="885" spans="3:4" x14ac:dyDescent="0.25">
      <c r="C885" s="3">
        <v>9.83</v>
      </c>
      <c r="D885" s="13">
        <v>15780</v>
      </c>
    </row>
    <row r="886" spans="3:4" x14ac:dyDescent="0.25">
      <c r="C886" s="3">
        <v>11.6</v>
      </c>
      <c r="D886" s="13">
        <v>8608</v>
      </c>
    </row>
    <row r="887" spans="3:4" x14ac:dyDescent="0.25">
      <c r="C887" s="3">
        <v>9.1199999999999992</v>
      </c>
      <c r="D887" s="13">
        <v>6973</v>
      </c>
    </row>
    <row r="888" spans="3:4" x14ac:dyDescent="0.25">
      <c r="C888" s="3">
        <v>7.38</v>
      </c>
      <c r="D888" s="13">
        <v>6465</v>
      </c>
    </row>
    <row r="889" spans="3:4" x14ac:dyDescent="0.25">
      <c r="C889" s="3">
        <v>12.35</v>
      </c>
      <c r="D889" s="13">
        <v>115638</v>
      </c>
    </row>
    <row r="890" spans="3:4" x14ac:dyDescent="0.25">
      <c r="C890" s="3">
        <v>8.9</v>
      </c>
      <c r="D890" s="13">
        <v>12195</v>
      </c>
    </row>
    <row r="891" spans="3:4" x14ac:dyDescent="0.25">
      <c r="C891" s="3">
        <v>9.64</v>
      </c>
      <c r="D891" s="13">
        <v>49299</v>
      </c>
    </row>
    <row r="892" spans="3:4" x14ac:dyDescent="0.25">
      <c r="C892" s="3">
        <v>9.66</v>
      </c>
      <c r="D892" s="13">
        <v>68046</v>
      </c>
    </row>
    <row r="893" spans="3:4" x14ac:dyDescent="0.25">
      <c r="C893" s="3">
        <v>10.01</v>
      </c>
      <c r="D893" s="13">
        <v>13180</v>
      </c>
    </row>
    <row r="894" spans="3:4" x14ac:dyDescent="0.25">
      <c r="C894" s="3">
        <v>13.17</v>
      </c>
      <c r="D894" s="13">
        <v>4206</v>
      </c>
    </row>
    <row r="895" spans="3:4" x14ac:dyDescent="0.25">
      <c r="C895" s="3">
        <v>11.21</v>
      </c>
      <c r="D895" s="13">
        <v>29863</v>
      </c>
    </row>
    <row r="896" spans="3:4" x14ac:dyDescent="0.25">
      <c r="C896" s="3">
        <v>8.9600000000000009</v>
      </c>
      <c r="D896" s="13">
        <v>73327</v>
      </c>
    </row>
    <row r="897" spans="3:4" x14ac:dyDescent="0.25">
      <c r="C897" s="3">
        <v>9.68</v>
      </c>
      <c r="D897" s="13">
        <v>18110</v>
      </c>
    </row>
    <row r="898" spans="3:4" x14ac:dyDescent="0.25">
      <c r="C898" s="3">
        <v>8.01</v>
      </c>
      <c r="D898" s="13">
        <v>26057</v>
      </c>
    </row>
    <row r="899" spans="3:4" x14ac:dyDescent="0.25">
      <c r="C899" s="3">
        <v>12.98</v>
      </c>
      <c r="D899" s="13">
        <v>110507</v>
      </c>
    </row>
    <row r="900" spans="3:4" x14ac:dyDescent="0.25">
      <c r="C900" s="3">
        <v>10.7</v>
      </c>
      <c r="D900" s="13">
        <v>33888</v>
      </c>
    </row>
    <row r="901" spans="3:4" x14ac:dyDescent="0.25">
      <c r="C901" s="3">
        <v>14.67</v>
      </c>
      <c r="D901" s="13">
        <v>32660</v>
      </c>
    </row>
    <row r="902" spans="3:4" x14ac:dyDescent="0.25">
      <c r="C902" s="3">
        <v>6.68</v>
      </c>
      <c r="D902" s="13">
        <v>49495</v>
      </c>
    </row>
    <row r="903" spans="3:4" x14ac:dyDescent="0.25">
      <c r="C903" s="3">
        <v>8.52</v>
      </c>
      <c r="D903" s="13">
        <v>5554</v>
      </c>
    </row>
    <row r="904" spans="3:4" x14ac:dyDescent="0.25">
      <c r="C904" s="3">
        <v>13.42</v>
      </c>
      <c r="D904" s="13">
        <v>4086</v>
      </c>
    </row>
    <row r="905" spans="3:4" x14ac:dyDescent="0.25">
      <c r="C905" s="3">
        <v>7.5</v>
      </c>
      <c r="D905" s="13">
        <v>5293</v>
      </c>
    </row>
    <row r="906" spans="3:4" x14ac:dyDescent="0.25">
      <c r="C906" s="3">
        <v>7.5</v>
      </c>
      <c r="D906" s="13">
        <v>21722</v>
      </c>
    </row>
    <row r="907" spans="3:4" x14ac:dyDescent="0.25">
      <c r="C907" s="3">
        <v>13.64</v>
      </c>
      <c r="D907" s="13">
        <v>121684</v>
      </c>
    </row>
    <row r="908" spans="3:4" x14ac:dyDescent="0.25">
      <c r="C908" s="3">
        <v>9.09</v>
      </c>
      <c r="D908" s="13">
        <v>11653</v>
      </c>
    </row>
    <row r="909" spans="3:4" x14ac:dyDescent="0.25">
      <c r="C909" s="3">
        <v>12.28</v>
      </c>
      <c r="D909" s="13">
        <v>20314</v>
      </c>
    </row>
    <row r="910" spans="3:4" x14ac:dyDescent="0.25">
      <c r="C910" s="3">
        <v>11.7</v>
      </c>
      <c r="D910" s="13">
        <v>31611</v>
      </c>
    </row>
    <row r="911" spans="3:4" x14ac:dyDescent="0.25">
      <c r="C911" s="3">
        <v>9.7799999999999994</v>
      </c>
      <c r="D911" s="13">
        <v>11410</v>
      </c>
    </row>
    <row r="912" spans="3:4" x14ac:dyDescent="0.25">
      <c r="C912" s="3">
        <v>10.86</v>
      </c>
      <c r="D912" s="13">
        <v>12117</v>
      </c>
    </row>
    <row r="913" spans="3:4" x14ac:dyDescent="0.25">
      <c r="C913" s="3">
        <v>10.78</v>
      </c>
      <c r="D913" s="13">
        <v>19084</v>
      </c>
    </row>
    <row r="914" spans="3:4" x14ac:dyDescent="0.25">
      <c r="C914" s="3">
        <v>13.27</v>
      </c>
      <c r="D914" s="13">
        <v>37925</v>
      </c>
    </row>
    <row r="915" spans="3:4" x14ac:dyDescent="0.25">
      <c r="C915" s="3">
        <v>8.1999999999999993</v>
      </c>
      <c r="D915" s="13">
        <v>43741</v>
      </c>
    </row>
    <row r="916" spans="3:4" x14ac:dyDescent="0.25">
      <c r="C916" s="3">
        <v>9.44</v>
      </c>
      <c r="D916" s="13">
        <v>6598</v>
      </c>
    </row>
    <row r="917" spans="3:4" x14ac:dyDescent="0.25">
      <c r="C917" s="3">
        <v>10.58</v>
      </c>
      <c r="D917" s="13">
        <v>84332</v>
      </c>
    </row>
    <row r="918" spans="3:4" x14ac:dyDescent="0.25">
      <c r="C918" s="3">
        <v>8.9</v>
      </c>
      <c r="D918" s="13">
        <v>35957</v>
      </c>
    </row>
    <row r="919" spans="3:4" x14ac:dyDescent="0.25">
      <c r="C919" s="3">
        <v>9.17</v>
      </c>
      <c r="D919" s="13">
        <v>19067</v>
      </c>
    </row>
    <row r="920" spans="3:4" x14ac:dyDescent="0.25">
      <c r="C920" s="3">
        <v>8.1999999999999993</v>
      </c>
      <c r="D920" s="13">
        <v>13144</v>
      </c>
    </row>
    <row r="921" spans="3:4" x14ac:dyDescent="0.25">
      <c r="C921" s="3">
        <v>11.33</v>
      </c>
      <c r="D921" s="13">
        <v>6183</v>
      </c>
    </row>
    <row r="922" spans="3:4" x14ac:dyDescent="0.25">
      <c r="C922" s="3">
        <v>8.9600000000000009</v>
      </c>
      <c r="D922" s="13">
        <v>54436</v>
      </c>
    </row>
    <row r="923" spans="3:4" x14ac:dyDescent="0.25">
      <c r="C923" s="3">
        <v>7.63</v>
      </c>
      <c r="D923" s="13">
        <v>87673</v>
      </c>
    </row>
    <row r="924" spans="3:4" x14ac:dyDescent="0.25">
      <c r="C924" s="3">
        <v>9.4</v>
      </c>
      <c r="D924" s="13">
        <v>32605</v>
      </c>
    </row>
    <row r="925" spans="3:4" x14ac:dyDescent="0.25">
      <c r="C925" s="3">
        <v>11.4</v>
      </c>
      <c r="D925" s="13">
        <v>13113</v>
      </c>
    </row>
    <row r="926" spans="3:4" x14ac:dyDescent="0.25">
      <c r="C926" s="3">
        <v>8.33</v>
      </c>
      <c r="D926" s="13">
        <v>33628</v>
      </c>
    </row>
    <row r="927" spans="3:4" x14ac:dyDescent="0.25">
      <c r="C927" s="3">
        <v>11.07</v>
      </c>
      <c r="D927" s="13">
        <v>33656</v>
      </c>
    </row>
    <row r="928" spans="3:4" x14ac:dyDescent="0.25">
      <c r="C928" s="3">
        <v>10.33</v>
      </c>
      <c r="D928" s="13">
        <v>13721</v>
      </c>
    </row>
    <row r="929" spans="3:4" x14ac:dyDescent="0.25">
      <c r="C929" s="3">
        <v>11.94</v>
      </c>
      <c r="D929" s="13">
        <v>10801</v>
      </c>
    </row>
    <row r="930" spans="3:4" x14ac:dyDescent="0.25">
      <c r="C930" s="3">
        <v>7.73</v>
      </c>
      <c r="D930" s="13">
        <v>15626</v>
      </c>
    </row>
    <row r="931" spans="3:4" x14ac:dyDescent="0.25">
      <c r="C931" s="3">
        <v>10.7</v>
      </c>
      <c r="D931" s="13">
        <v>63333</v>
      </c>
    </row>
    <row r="932" spans="3:4" x14ac:dyDescent="0.25">
      <c r="C932" s="3">
        <v>7.8</v>
      </c>
      <c r="D932" s="13">
        <v>7284</v>
      </c>
    </row>
    <row r="933" spans="3:4" x14ac:dyDescent="0.25">
      <c r="C933" s="3">
        <v>6.7</v>
      </c>
      <c r="D933" s="13">
        <v>30081</v>
      </c>
    </row>
    <row r="934" spans="3:4" x14ac:dyDescent="0.25">
      <c r="C934" s="3">
        <v>13.05</v>
      </c>
      <c r="D934" s="13">
        <v>33677</v>
      </c>
    </row>
    <row r="935" spans="3:4" x14ac:dyDescent="0.25">
      <c r="C935" s="3">
        <v>11.4</v>
      </c>
      <c r="D935" s="13">
        <v>15724</v>
      </c>
    </row>
    <row r="936" spans="3:4" x14ac:dyDescent="0.25">
      <c r="C936" s="3">
        <v>15.51</v>
      </c>
      <c r="D936" s="13">
        <v>7318</v>
      </c>
    </row>
    <row r="937" spans="3:4" x14ac:dyDescent="0.25">
      <c r="C937" s="3">
        <v>10.83</v>
      </c>
      <c r="D937" s="13">
        <v>15596</v>
      </c>
    </row>
    <row r="938" spans="3:4" x14ac:dyDescent="0.25">
      <c r="C938" s="3">
        <v>8.6</v>
      </c>
      <c r="D938" s="13">
        <v>25242</v>
      </c>
    </row>
    <row r="939" spans="3:4" x14ac:dyDescent="0.25">
      <c r="C939" s="3">
        <v>11.77</v>
      </c>
      <c r="D939" s="13">
        <v>18370</v>
      </c>
    </row>
    <row r="940" spans="3:4" x14ac:dyDescent="0.25">
      <c r="C940" s="3">
        <v>12.39</v>
      </c>
      <c r="D940" s="13">
        <v>11683</v>
      </c>
    </row>
    <row r="941" spans="3:4" x14ac:dyDescent="0.25">
      <c r="C941" s="3">
        <v>9.17</v>
      </c>
      <c r="D941" s="13">
        <v>30585</v>
      </c>
    </row>
    <row r="942" spans="3:4" x14ac:dyDescent="0.25">
      <c r="C942" s="3">
        <v>9.91</v>
      </c>
      <c r="D942" s="13">
        <v>80272</v>
      </c>
    </row>
    <row r="943" spans="3:4" x14ac:dyDescent="0.25">
      <c r="C943" s="3">
        <v>8.08</v>
      </c>
      <c r="D943" s="13">
        <v>22414</v>
      </c>
    </row>
    <row r="944" spans="3:4" x14ac:dyDescent="0.25">
      <c r="C944" s="3">
        <v>8.73</v>
      </c>
      <c r="D944" s="13">
        <v>5760</v>
      </c>
    </row>
    <row r="945" spans="3:4" x14ac:dyDescent="0.25">
      <c r="C945" s="3">
        <v>9.83</v>
      </c>
      <c r="D945" s="13">
        <v>23719</v>
      </c>
    </row>
    <row r="946" spans="3:4" x14ac:dyDescent="0.25">
      <c r="C946" s="3">
        <v>7.74</v>
      </c>
      <c r="D946" s="13">
        <v>2805</v>
      </c>
    </row>
    <row r="947" spans="3:4" x14ac:dyDescent="0.25">
      <c r="C947" s="3">
        <v>15.36</v>
      </c>
      <c r="D947" s="13">
        <v>23874</v>
      </c>
    </row>
    <row r="948" spans="3:4" x14ac:dyDescent="0.25">
      <c r="C948" s="3">
        <v>13.4</v>
      </c>
      <c r="D948" s="13">
        <v>5544</v>
      </c>
    </row>
    <row r="949" spans="3:4" x14ac:dyDescent="0.25">
      <c r="C949" s="3">
        <v>7.54</v>
      </c>
      <c r="D949" s="13">
        <v>4071</v>
      </c>
    </row>
    <row r="950" spans="3:4" x14ac:dyDescent="0.25">
      <c r="C950" s="3">
        <v>13.31</v>
      </c>
      <c r="D950" s="13">
        <v>32457</v>
      </c>
    </row>
    <row r="951" spans="3:4" x14ac:dyDescent="0.25">
      <c r="C951" s="3">
        <v>11.93</v>
      </c>
      <c r="D951" s="13">
        <v>29185</v>
      </c>
    </row>
    <row r="952" spans="3:4" x14ac:dyDescent="0.25">
      <c r="C952" s="3">
        <v>11.93</v>
      </c>
      <c r="D952" s="13">
        <v>17900</v>
      </c>
    </row>
    <row r="953" spans="3:4" x14ac:dyDescent="0.25">
      <c r="C953" s="3">
        <v>11.4</v>
      </c>
      <c r="D953" s="13">
        <v>97618</v>
      </c>
    </row>
    <row r="954" spans="3:4" x14ac:dyDescent="0.25">
      <c r="C954" s="3">
        <v>10.42</v>
      </c>
      <c r="D954" s="13">
        <v>15897</v>
      </c>
    </row>
    <row r="955" spans="3:4" x14ac:dyDescent="0.25">
      <c r="C955" s="3">
        <v>9.9</v>
      </c>
      <c r="D955" s="13">
        <v>49834</v>
      </c>
    </row>
    <row r="956" spans="3:4" x14ac:dyDescent="0.25">
      <c r="C956" s="3">
        <v>6.11</v>
      </c>
      <c r="D956" s="13">
        <v>28837</v>
      </c>
    </row>
    <row r="957" spans="3:4" x14ac:dyDescent="0.25">
      <c r="C957" s="3">
        <v>14.3</v>
      </c>
      <c r="D957" s="13">
        <v>118657</v>
      </c>
    </row>
    <row r="958" spans="3:4" x14ac:dyDescent="0.25">
      <c r="C958" s="3">
        <v>9.4700000000000006</v>
      </c>
      <c r="D958" s="13">
        <v>11318</v>
      </c>
    </row>
    <row r="959" spans="3:4" x14ac:dyDescent="0.25">
      <c r="C959" s="3">
        <v>10.07</v>
      </c>
      <c r="D959" s="13">
        <v>97496</v>
      </c>
    </row>
    <row r="960" spans="3:4" x14ac:dyDescent="0.25">
      <c r="C960" s="3">
        <v>9.2799999999999994</v>
      </c>
      <c r="D960" s="13">
        <v>50024</v>
      </c>
    </row>
    <row r="961" spans="3:4" x14ac:dyDescent="0.25">
      <c r="C961" s="3">
        <v>13.16</v>
      </c>
      <c r="D961" s="13">
        <v>9689</v>
      </c>
    </row>
    <row r="962" spans="3:4" x14ac:dyDescent="0.25">
      <c r="C962" s="3">
        <v>10.27</v>
      </c>
      <c r="D962" s="13">
        <v>104999</v>
      </c>
    </row>
    <row r="963" spans="3:4" x14ac:dyDescent="0.25">
      <c r="C963" s="3">
        <v>8.93</v>
      </c>
      <c r="D963" s="13">
        <v>31525</v>
      </c>
    </row>
    <row r="964" spans="3:4" x14ac:dyDescent="0.25">
      <c r="C964" s="3">
        <v>11.65</v>
      </c>
      <c r="D964" s="13">
        <v>102586</v>
      </c>
    </row>
    <row r="965" spans="3:4" x14ac:dyDescent="0.25">
      <c r="C965" s="3">
        <v>12.22</v>
      </c>
      <c r="D965" s="13">
        <v>71172</v>
      </c>
    </row>
    <row r="966" spans="3:4" x14ac:dyDescent="0.25">
      <c r="C966" s="3">
        <v>13.2</v>
      </c>
      <c r="D966" s="13">
        <v>6825</v>
      </c>
    </row>
    <row r="967" spans="3:4" x14ac:dyDescent="0.25">
      <c r="C967" s="3">
        <v>8.6300000000000008</v>
      </c>
      <c r="D967" s="13">
        <v>8383</v>
      </c>
    </row>
    <row r="968" spans="3:4" x14ac:dyDescent="0.25">
      <c r="C968" s="3">
        <v>11.73</v>
      </c>
      <c r="D968" s="13">
        <v>36187</v>
      </c>
    </row>
    <row r="969" spans="3:4" x14ac:dyDescent="0.25">
      <c r="C969" s="3">
        <v>8.26</v>
      </c>
      <c r="D969" s="13">
        <v>23751</v>
      </c>
    </row>
    <row r="970" spans="3:4" x14ac:dyDescent="0.25">
      <c r="C970" s="3">
        <v>12.26</v>
      </c>
      <c r="D970" s="13">
        <v>66168</v>
      </c>
    </row>
    <row r="971" spans="3:4" x14ac:dyDescent="0.25">
      <c r="C971" s="3">
        <v>9.0299999999999994</v>
      </c>
      <c r="D971" s="13">
        <v>11866</v>
      </c>
    </row>
    <row r="972" spans="3:4" x14ac:dyDescent="0.25">
      <c r="C972" s="3">
        <v>8.26</v>
      </c>
      <c r="D972" s="13">
        <v>59918</v>
      </c>
    </row>
    <row r="973" spans="3:4" x14ac:dyDescent="0.25">
      <c r="C973" s="3">
        <v>8.4600000000000009</v>
      </c>
      <c r="D973" s="13">
        <v>18795</v>
      </c>
    </row>
    <row r="974" spans="3:4" x14ac:dyDescent="0.25">
      <c r="C974" s="3">
        <v>8.58</v>
      </c>
      <c r="D974" s="13">
        <v>8200</v>
      </c>
    </row>
    <row r="975" spans="3:4" x14ac:dyDescent="0.25">
      <c r="C975" s="3">
        <v>11.44</v>
      </c>
      <c r="D975" s="13">
        <v>21492</v>
      </c>
    </row>
    <row r="976" spans="3:4" x14ac:dyDescent="0.25">
      <c r="C976" s="3">
        <v>9.39</v>
      </c>
      <c r="D976" s="13">
        <v>26757</v>
      </c>
    </row>
    <row r="977" spans="3:4" x14ac:dyDescent="0.25">
      <c r="C977" s="3">
        <v>7.85</v>
      </c>
      <c r="D977" s="13">
        <v>12481</v>
      </c>
    </row>
    <row r="978" spans="3:4" x14ac:dyDescent="0.25">
      <c r="C978" s="3">
        <v>6.74</v>
      </c>
      <c r="D978" s="13">
        <v>6320</v>
      </c>
    </row>
    <row r="979" spans="3:4" x14ac:dyDescent="0.25">
      <c r="C979" s="3">
        <v>13.5</v>
      </c>
      <c r="D979" s="13">
        <v>4398</v>
      </c>
    </row>
    <row r="980" spans="3:4" x14ac:dyDescent="0.25">
      <c r="C980" s="3">
        <v>11.81</v>
      </c>
      <c r="D980" s="13">
        <v>5807</v>
      </c>
    </row>
    <row r="981" spans="3:4" x14ac:dyDescent="0.25">
      <c r="C981" s="3">
        <v>7.63</v>
      </c>
      <c r="D981" s="13">
        <v>40347</v>
      </c>
    </row>
    <row r="982" spans="3:4" x14ac:dyDescent="0.25">
      <c r="C982" s="3">
        <v>13.38</v>
      </c>
      <c r="D982" s="13">
        <v>19510</v>
      </c>
    </row>
    <row r="983" spans="3:4" x14ac:dyDescent="0.25">
      <c r="C983" s="3">
        <v>9.7200000000000006</v>
      </c>
      <c r="D983" s="13">
        <v>7257</v>
      </c>
    </row>
    <row r="984" spans="3:4" x14ac:dyDescent="0.25">
      <c r="C984" s="3">
        <v>13.33</v>
      </c>
      <c r="D984" s="13">
        <v>24262</v>
      </c>
    </row>
    <row r="985" spans="3:4" x14ac:dyDescent="0.25">
      <c r="C985" s="3">
        <v>9.9700000000000006</v>
      </c>
      <c r="D985" s="13">
        <v>12223</v>
      </c>
    </row>
    <row r="986" spans="3:4" x14ac:dyDescent="0.25">
      <c r="C986" s="3">
        <v>8.49</v>
      </c>
      <c r="D986" s="13">
        <v>63793</v>
      </c>
    </row>
    <row r="987" spans="3:4" x14ac:dyDescent="0.25">
      <c r="C987" s="3">
        <v>7.12</v>
      </c>
      <c r="D987" s="13">
        <v>11251</v>
      </c>
    </row>
    <row r="988" spans="3:4" x14ac:dyDescent="0.25">
      <c r="C988" s="3">
        <v>8.6300000000000008</v>
      </c>
      <c r="D988" s="13">
        <v>48000</v>
      </c>
    </row>
    <row r="989" spans="3:4" x14ac:dyDescent="0.25">
      <c r="C989" s="3">
        <v>10.199999999999999</v>
      </c>
      <c r="D989" s="13">
        <v>41991</v>
      </c>
    </row>
    <row r="990" spans="3:4" x14ac:dyDescent="0.25">
      <c r="C990" s="3">
        <v>10.039999999999999</v>
      </c>
      <c r="D990" s="13">
        <v>12288</v>
      </c>
    </row>
    <row r="991" spans="3:4" x14ac:dyDescent="0.25">
      <c r="C991" s="3">
        <v>8.6</v>
      </c>
      <c r="D991" s="13">
        <v>19062</v>
      </c>
    </row>
    <row r="992" spans="3:4" x14ac:dyDescent="0.25">
      <c r="C992" s="3">
        <v>10.039999999999999</v>
      </c>
      <c r="D992" s="13">
        <v>21025</v>
      </c>
    </row>
    <row r="993" spans="3:4" x14ac:dyDescent="0.25">
      <c r="C993" s="3">
        <v>9.2200000000000006</v>
      </c>
      <c r="D993" s="13">
        <v>70850</v>
      </c>
    </row>
    <row r="994" spans="3:4" x14ac:dyDescent="0.25">
      <c r="C994" s="3">
        <v>11.56</v>
      </c>
      <c r="D994" s="13">
        <v>11297</v>
      </c>
    </row>
    <row r="995" spans="3:4" x14ac:dyDescent="0.25">
      <c r="C995" s="3">
        <v>6.84</v>
      </c>
      <c r="D995" s="13">
        <v>36430</v>
      </c>
    </row>
    <row r="996" spans="3:4" x14ac:dyDescent="0.25">
      <c r="C996" s="3">
        <v>6.6</v>
      </c>
      <c r="D996" s="13">
        <v>8447</v>
      </c>
    </row>
    <row r="997" spans="3:4" x14ac:dyDescent="0.25">
      <c r="C997" s="3">
        <v>9.2799999999999994</v>
      </c>
      <c r="D997" s="13">
        <v>17862</v>
      </c>
    </row>
    <row r="998" spans="3:4" x14ac:dyDescent="0.25">
      <c r="C998" s="3">
        <v>10.53</v>
      </c>
      <c r="D998" s="13">
        <v>25296</v>
      </c>
    </row>
    <row r="999" spans="3:4" x14ac:dyDescent="0.25">
      <c r="C999" s="3">
        <v>9.42</v>
      </c>
      <c r="D999" s="13">
        <v>13711</v>
      </c>
    </row>
    <row r="1000" spans="3:4" x14ac:dyDescent="0.25">
      <c r="C1000" s="3">
        <v>6.68</v>
      </c>
      <c r="D1000" s="13">
        <v>41051</v>
      </c>
    </row>
    <row r="1001" spans="3:4" x14ac:dyDescent="0.25">
      <c r="C1001" s="3">
        <v>7.76</v>
      </c>
      <c r="D1001" s="13">
        <v>19966</v>
      </c>
    </row>
    <row r="1002" spans="3:4" x14ac:dyDescent="0.25">
      <c r="C1002" s="3">
        <v>11.37</v>
      </c>
      <c r="D1002" s="13">
        <v>18546</v>
      </c>
    </row>
    <row r="1003" spans="3:4" x14ac:dyDescent="0.25">
      <c r="C1003" s="3">
        <v>12.28</v>
      </c>
      <c r="D1003" s="13">
        <v>34720</v>
      </c>
    </row>
    <row r="1004" spans="3:4" x14ac:dyDescent="0.25">
      <c r="C1004" s="3">
        <v>12.1</v>
      </c>
      <c r="D1004" s="13">
        <v>16379</v>
      </c>
    </row>
    <row r="1005" spans="3:4" x14ac:dyDescent="0.25">
      <c r="C1005" s="3">
        <v>8.9600000000000009</v>
      </c>
      <c r="D1005" s="13">
        <v>13170</v>
      </c>
    </row>
    <row r="1006" spans="3:4" x14ac:dyDescent="0.25">
      <c r="C1006" s="3">
        <v>7.66</v>
      </c>
      <c r="D1006" s="13">
        <v>43404</v>
      </c>
    </row>
    <row r="1007" spans="3:4" x14ac:dyDescent="0.25">
      <c r="C1007" s="3">
        <v>10.9</v>
      </c>
      <c r="D1007" s="13">
        <v>86182</v>
      </c>
    </row>
    <row r="1008" spans="3:4" x14ac:dyDescent="0.25">
      <c r="C1008" s="3">
        <v>8.6</v>
      </c>
      <c r="D1008" s="13">
        <v>4932</v>
      </c>
    </row>
    <row r="1009" spans="3:4" x14ac:dyDescent="0.25">
      <c r="C1009" s="3">
        <v>9.8699999999999992</v>
      </c>
      <c r="D1009" s="13">
        <v>53080</v>
      </c>
    </row>
    <row r="1010" spans="3:4" x14ac:dyDescent="0.25">
      <c r="C1010" s="3">
        <v>6.4</v>
      </c>
      <c r="D1010" s="13">
        <v>21569</v>
      </c>
    </row>
    <row r="1011" spans="3:4" x14ac:dyDescent="0.25">
      <c r="C1011" s="3">
        <v>10.58</v>
      </c>
      <c r="D1011" s="13">
        <v>11083</v>
      </c>
    </row>
    <row r="1012" spans="3:4" x14ac:dyDescent="0.25">
      <c r="C1012" s="3">
        <v>9.75</v>
      </c>
      <c r="D1012" s="13">
        <v>11096</v>
      </c>
    </row>
    <row r="1013" spans="3:4" x14ac:dyDescent="0.25">
      <c r="C1013" s="3">
        <v>9.4</v>
      </c>
      <c r="D1013" s="13">
        <v>62288</v>
      </c>
    </row>
    <row r="1014" spans="3:4" x14ac:dyDescent="0.25">
      <c r="C1014" s="3">
        <v>8.33</v>
      </c>
      <c r="D1014" s="13">
        <v>58104</v>
      </c>
    </row>
    <row r="1015" spans="3:4" x14ac:dyDescent="0.25">
      <c r="C1015" s="3">
        <v>9.25</v>
      </c>
      <c r="D1015" s="13">
        <v>24894</v>
      </c>
    </row>
    <row r="1016" spans="3:4" x14ac:dyDescent="0.25">
      <c r="C1016" s="3">
        <v>7.6</v>
      </c>
      <c r="D1016" s="13">
        <v>20673</v>
      </c>
    </row>
    <row r="1017" spans="3:4" x14ac:dyDescent="0.25">
      <c r="C1017" s="3">
        <v>6.71</v>
      </c>
      <c r="D1017" s="13">
        <v>46919</v>
      </c>
    </row>
    <row r="1018" spans="3:4" x14ac:dyDescent="0.25">
      <c r="C1018" s="3">
        <v>11.11</v>
      </c>
      <c r="D1018" s="13">
        <v>91451</v>
      </c>
    </row>
    <row r="1019" spans="3:4" x14ac:dyDescent="0.25">
      <c r="C1019" s="3">
        <v>10.77</v>
      </c>
      <c r="D1019" s="13">
        <v>21913</v>
      </c>
    </row>
    <row r="1020" spans="3:4" x14ac:dyDescent="0.25">
      <c r="C1020" s="3">
        <v>9.1999999999999993</v>
      </c>
      <c r="D1020" s="13">
        <v>13459</v>
      </c>
    </row>
    <row r="1021" spans="3:4" x14ac:dyDescent="0.25">
      <c r="C1021" s="3">
        <v>8.49</v>
      </c>
      <c r="D1021" s="13">
        <v>30312</v>
      </c>
    </row>
    <row r="1022" spans="3:4" x14ac:dyDescent="0.25">
      <c r="C1022" s="3">
        <v>8.1999999999999993</v>
      </c>
      <c r="D1022" s="13">
        <v>6773</v>
      </c>
    </row>
    <row r="1023" spans="3:4" x14ac:dyDescent="0.25">
      <c r="C1023" s="3">
        <v>11.4</v>
      </c>
      <c r="D1023" s="13">
        <v>9970</v>
      </c>
    </row>
    <row r="1024" spans="3:4" x14ac:dyDescent="0.25">
      <c r="C1024" s="3">
        <v>11.94</v>
      </c>
      <c r="D1024" s="13">
        <v>31238</v>
      </c>
    </row>
    <row r="1025" spans="3:4" x14ac:dyDescent="0.25">
      <c r="C1025" s="3">
        <v>10.89</v>
      </c>
      <c r="D1025" s="13">
        <v>65047</v>
      </c>
    </row>
    <row r="1026" spans="3:4" x14ac:dyDescent="0.25">
      <c r="C1026" s="3">
        <v>12.33</v>
      </c>
      <c r="D1026" s="13">
        <v>21996</v>
      </c>
    </row>
    <row r="1027" spans="3:4" x14ac:dyDescent="0.25">
      <c r="C1027" s="3">
        <v>10.34</v>
      </c>
      <c r="D1027" s="13">
        <v>88989</v>
      </c>
    </row>
    <row r="1028" spans="3:4" x14ac:dyDescent="0.25">
      <c r="C1028" s="3">
        <v>12.03</v>
      </c>
      <c r="D1028" s="13">
        <v>105528</v>
      </c>
    </row>
    <row r="1029" spans="3:4" x14ac:dyDescent="0.25">
      <c r="C1029" s="3">
        <v>7.77</v>
      </c>
      <c r="D1029" s="13">
        <v>4278</v>
      </c>
    </row>
    <row r="1030" spans="3:4" x14ac:dyDescent="0.25">
      <c r="C1030" s="3">
        <v>15.11</v>
      </c>
      <c r="D1030" s="13">
        <v>21425</v>
      </c>
    </row>
    <row r="1031" spans="3:4" x14ac:dyDescent="0.25">
      <c r="C1031" s="3">
        <v>11.53</v>
      </c>
      <c r="D1031" s="13">
        <v>5050</v>
      </c>
    </row>
    <row r="1032" spans="3:4" x14ac:dyDescent="0.25">
      <c r="C1032" s="3">
        <v>8.68</v>
      </c>
      <c r="D1032" s="13">
        <v>41127</v>
      </c>
    </row>
    <row r="1033" spans="3:4" x14ac:dyDescent="0.25">
      <c r="C1033" s="3">
        <v>6.24</v>
      </c>
      <c r="D1033" s="13">
        <v>53988</v>
      </c>
    </row>
    <row r="1034" spans="3:4" x14ac:dyDescent="0.25">
      <c r="C1034" s="3">
        <v>10.53</v>
      </c>
      <c r="D1034" s="13">
        <v>24626</v>
      </c>
    </row>
    <row r="1035" spans="3:4" x14ac:dyDescent="0.25">
      <c r="C1035" s="3">
        <v>5.76</v>
      </c>
      <c r="D1035" s="13">
        <v>17195</v>
      </c>
    </row>
    <row r="1036" spans="3:4" x14ac:dyDescent="0.25">
      <c r="C1036" s="3">
        <v>7.89</v>
      </c>
      <c r="D1036" s="13">
        <v>54193</v>
      </c>
    </row>
    <row r="1037" spans="3:4" x14ac:dyDescent="0.25">
      <c r="C1037" s="3">
        <v>11.73</v>
      </c>
      <c r="D1037" s="13">
        <v>111060</v>
      </c>
    </row>
    <row r="1038" spans="3:4" x14ac:dyDescent="0.25">
      <c r="C1038" s="3">
        <v>9.31</v>
      </c>
      <c r="D1038" s="13">
        <v>10344</v>
      </c>
    </row>
    <row r="1039" spans="3:4" x14ac:dyDescent="0.25">
      <c r="C1039" s="3">
        <v>7.19</v>
      </c>
      <c r="D1039" s="13">
        <v>34370</v>
      </c>
    </row>
    <row r="1040" spans="3:4" x14ac:dyDescent="0.25">
      <c r="C1040" s="3">
        <v>12.79</v>
      </c>
      <c r="D1040" s="13">
        <v>32375</v>
      </c>
    </row>
    <row r="1041" spans="3:4" x14ac:dyDescent="0.25">
      <c r="C1041" s="3">
        <v>7.67</v>
      </c>
      <c r="D1041" s="13">
        <v>30236</v>
      </c>
    </row>
    <row r="1042" spans="3:4" x14ac:dyDescent="0.25">
      <c r="C1042" s="3">
        <v>12.36</v>
      </c>
      <c r="D1042" s="13">
        <v>93711</v>
      </c>
    </row>
    <row r="1043" spans="3:4" x14ac:dyDescent="0.25">
      <c r="C1043" s="3">
        <v>10.17</v>
      </c>
      <c r="D1043" s="13">
        <v>99314</v>
      </c>
    </row>
    <row r="1044" spans="3:4" x14ac:dyDescent="0.25">
      <c r="C1044" s="3">
        <v>9.6300000000000008</v>
      </c>
      <c r="D1044" s="13">
        <v>5627</v>
      </c>
    </row>
    <row r="1045" spans="3:4" x14ac:dyDescent="0.25">
      <c r="C1045" s="3">
        <v>9.09</v>
      </c>
      <c r="D1045" s="13">
        <v>56234</v>
      </c>
    </row>
    <row r="1046" spans="3:4" x14ac:dyDescent="0.25">
      <c r="C1046" s="3">
        <v>9.34</v>
      </c>
      <c r="D1046" s="13">
        <v>50587</v>
      </c>
    </row>
    <row r="1047" spans="3:4" x14ac:dyDescent="0.25">
      <c r="C1047" s="3">
        <v>7.7</v>
      </c>
      <c r="D1047" s="13">
        <v>4262</v>
      </c>
    </row>
    <row r="1048" spans="3:4" x14ac:dyDescent="0.25">
      <c r="C1048" s="3">
        <v>10.23</v>
      </c>
      <c r="D1048" s="13">
        <v>83690</v>
      </c>
    </row>
    <row r="1049" spans="3:4" x14ac:dyDescent="0.25">
      <c r="C1049" s="3">
        <v>8.6</v>
      </c>
      <c r="D1049" s="13">
        <v>7904</v>
      </c>
    </row>
    <row r="1050" spans="3:4" x14ac:dyDescent="0.25">
      <c r="C1050" s="3">
        <v>11.75</v>
      </c>
      <c r="D1050" s="13">
        <v>28485</v>
      </c>
    </row>
    <row r="1051" spans="3:4" x14ac:dyDescent="0.25">
      <c r="C1051" s="3">
        <v>8.23</v>
      </c>
      <c r="D1051" s="13">
        <v>54702</v>
      </c>
    </row>
    <row r="1052" spans="3:4" x14ac:dyDescent="0.25">
      <c r="C1052" s="3">
        <v>8.36</v>
      </c>
      <c r="D1052" s="13">
        <v>18313</v>
      </c>
    </row>
    <row r="1053" spans="3:4" x14ac:dyDescent="0.25">
      <c r="C1053" s="3">
        <v>17.53</v>
      </c>
      <c r="D1053" s="13">
        <v>111253</v>
      </c>
    </row>
    <row r="1054" spans="3:4" x14ac:dyDescent="0.25">
      <c r="C1054" s="3">
        <v>7.5</v>
      </c>
      <c r="D1054" s="13">
        <v>8985</v>
      </c>
    </row>
    <row r="1055" spans="3:4" x14ac:dyDescent="0.25">
      <c r="C1055" s="3">
        <v>10.3</v>
      </c>
      <c r="D1055" s="13">
        <v>99319</v>
      </c>
    </row>
    <row r="1056" spans="3:4" x14ac:dyDescent="0.25">
      <c r="C1056" s="3">
        <v>12.32</v>
      </c>
      <c r="D1056" s="13">
        <v>20058</v>
      </c>
    </row>
    <row r="1057" spans="3:4" x14ac:dyDescent="0.25">
      <c r="C1057" s="3">
        <v>8.8000000000000007</v>
      </c>
      <c r="D1057" s="13">
        <v>35986</v>
      </c>
    </row>
    <row r="1058" spans="3:4" x14ac:dyDescent="0.25">
      <c r="C1058" s="3">
        <v>9.94</v>
      </c>
      <c r="D1058" s="13">
        <v>23220</v>
      </c>
    </row>
    <row r="1059" spans="3:4" x14ac:dyDescent="0.25">
      <c r="C1059" s="3">
        <v>9.93</v>
      </c>
      <c r="D1059" s="13">
        <v>63274</v>
      </c>
    </row>
    <row r="1060" spans="3:4" x14ac:dyDescent="0.25">
      <c r="C1060" s="3">
        <v>7.16</v>
      </c>
      <c r="D1060" s="13">
        <v>8384</v>
      </c>
    </row>
    <row r="1061" spans="3:4" x14ac:dyDescent="0.25">
      <c r="C1061" s="3">
        <v>9.2200000000000006</v>
      </c>
      <c r="D1061" s="13">
        <v>26486</v>
      </c>
    </row>
    <row r="1062" spans="3:4" x14ac:dyDescent="0.25">
      <c r="C1062" s="3">
        <v>9.6300000000000008</v>
      </c>
      <c r="D1062" s="13">
        <v>20694</v>
      </c>
    </row>
    <row r="1063" spans="3:4" x14ac:dyDescent="0.25">
      <c r="C1063" s="3">
        <v>10.6</v>
      </c>
      <c r="D1063" s="13">
        <v>44823</v>
      </c>
    </row>
    <row r="1064" spans="3:4" x14ac:dyDescent="0.25">
      <c r="C1064" s="3">
        <v>13.16</v>
      </c>
      <c r="D1064" s="13">
        <v>6202</v>
      </c>
    </row>
    <row r="1065" spans="3:4" x14ac:dyDescent="0.25">
      <c r="C1065" s="3">
        <v>11.27</v>
      </c>
      <c r="D1065" s="13">
        <v>11157</v>
      </c>
    </row>
    <row r="1066" spans="3:4" x14ac:dyDescent="0.25">
      <c r="C1066" s="3">
        <v>10.67</v>
      </c>
      <c r="D1066" s="13">
        <v>4954</v>
      </c>
    </row>
    <row r="1067" spans="3:4" x14ac:dyDescent="0.25">
      <c r="C1067" s="3">
        <v>9.31</v>
      </c>
      <c r="D1067" s="13">
        <v>28886</v>
      </c>
    </row>
    <row r="1068" spans="3:4" x14ac:dyDescent="0.25">
      <c r="C1068" s="3">
        <v>13.71</v>
      </c>
      <c r="D1068" s="13">
        <v>122426</v>
      </c>
    </row>
    <row r="1069" spans="3:4" x14ac:dyDescent="0.25">
      <c r="C1069" s="3">
        <v>9.5299999999999994</v>
      </c>
      <c r="D1069" s="13">
        <v>16370</v>
      </c>
    </row>
    <row r="1070" spans="3:4" x14ac:dyDescent="0.25">
      <c r="C1070" s="3">
        <v>8.5299999999999994</v>
      </c>
      <c r="D1070" s="13">
        <v>14272</v>
      </c>
    </row>
    <row r="1071" spans="3:4" x14ac:dyDescent="0.25">
      <c r="C1071" s="3">
        <v>8.43</v>
      </c>
      <c r="D1071" s="13">
        <v>17614</v>
      </c>
    </row>
    <row r="1072" spans="3:4" x14ac:dyDescent="0.25">
      <c r="C1072" s="3">
        <v>12.43</v>
      </c>
      <c r="D1072" s="13">
        <v>22445</v>
      </c>
    </row>
    <row r="1073" spans="3:4" x14ac:dyDescent="0.25">
      <c r="C1073" s="3">
        <v>14.22</v>
      </c>
      <c r="D1073" s="13">
        <v>14394</v>
      </c>
    </row>
    <row r="1074" spans="3:4" x14ac:dyDescent="0.25">
      <c r="C1074" s="3">
        <v>7.22</v>
      </c>
      <c r="D1074" s="13">
        <v>35875</v>
      </c>
    </row>
    <row r="1075" spans="3:4" x14ac:dyDescent="0.25">
      <c r="C1075" s="3">
        <v>10.63</v>
      </c>
      <c r="D1075" s="13">
        <v>27322</v>
      </c>
    </row>
    <row r="1076" spans="3:4" x14ac:dyDescent="0.25">
      <c r="C1076" s="3">
        <v>12.36</v>
      </c>
      <c r="D1076" s="13">
        <v>99679</v>
      </c>
    </row>
    <row r="1077" spans="3:4" x14ac:dyDescent="0.25">
      <c r="C1077" s="3">
        <v>10.48</v>
      </c>
      <c r="D1077" s="13">
        <v>34936</v>
      </c>
    </row>
    <row r="1078" spans="3:4" x14ac:dyDescent="0.25">
      <c r="C1078" s="3">
        <v>10.42</v>
      </c>
      <c r="D1078" s="13">
        <v>4774</v>
      </c>
    </row>
    <row r="1079" spans="3:4" x14ac:dyDescent="0.25">
      <c r="C1079" s="3">
        <v>9.6300000000000008</v>
      </c>
      <c r="D1079" s="13">
        <v>30242</v>
      </c>
    </row>
    <row r="1080" spans="3:4" x14ac:dyDescent="0.25">
      <c r="C1080" s="3">
        <v>6.11</v>
      </c>
      <c r="D1080" s="13">
        <v>33011</v>
      </c>
    </row>
    <row r="1081" spans="3:4" x14ac:dyDescent="0.25">
      <c r="C1081" s="3">
        <v>9.86</v>
      </c>
      <c r="D1081" s="13">
        <v>11407</v>
      </c>
    </row>
    <row r="1082" spans="3:4" x14ac:dyDescent="0.25">
      <c r="C1082" s="3">
        <v>10.67</v>
      </c>
      <c r="D1082" s="13">
        <v>21378</v>
      </c>
    </row>
    <row r="1083" spans="3:4" x14ac:dyDescent="0.25">
      <c r="C1083" s="3">
        <v>8.68</v>
      </c>
      <c r="D1083" s="13">
        <v>5256</v>
      </c>
    </row>
    <row r="1084" spans="3:4" x14ac:dyDescent="0.25">
      <c r="C1084" s="3">
        <v>10.56</v>
      </c>
      <c r="D1084" s="13">
        <v>86680</v>
      </c>
    </row>
    <row r="1085" spans="3:4" x14ac:dyDescent="0.25">
      <c r="C1085" s="3">
        <v>11.22</v>
      </c>
      <c r="D1085" s="13">
        <v>37904</v>
      </c>
    </row>
    <row r="1086" spans="3:4" x14ac:dyDescent="0.25">
      <c r="C1086" s="3">
        <v>7.26</v>
      </c>
      <c r="D1086" s="13">
        <v>29710</v>
      </c>
    </row>
    <row r="1087" spans="3:4" x14ac:dyDescent="0.25">
      <c r="C1087" s="3">
        <v>9.2799999999999994</v>
      </c>
      <c r="D1087" s="13">
        <v>11136</v>
      </c>
    </row>
    <row r="1088" spans="3:4" x14ac:dyDescent="0.25">
      <c r="C1088" s="3">
        <v>6.65</v>
      </c>
      <c r="D1088" s="13">
        <v>14640</v>
      </c>
    </row>
    <row r="1089" spans="3:4" x14ac:dyDescent="0.25">
      <c r="C1089" s="3">
        <v>10.5</v>
      </c>
      <c r="D1089" s="13">
        <v>10191</v>
      </c>
    </row>
    <row r="1090" spans="3:4" x14ac:dyDescent="0.25">
      <c r="C1090" s="3">
        <v>10.17</v>
      </c>
      <c r="D1090" s="13">
        <v>37549</v>
      </c>
    </row>
    <row r="1091" spans="3:4" x14ac:dyDescent="0.25">
      <c r="C1091" s="3">
        <v>6.1</v>
      </c>
      <c r="D1091" s="13">
        <v>47558</v>
      </c>
    </row>
    <row r="1092" spans="3:4" x14ac:dyDescent="0.25">
      <c r="C1092" s="3">
        <v>9.66</v>
      </c>
      <c r="D1092" s="13">
        <v>26991</v>
      </c>
    </row>
    <row r="1093" spans="3:4" x14ac:dyDescent="0.25">
      <c r="C1093" s="3">
        <v>10.51</v>
      </c>
      <c r="D1093" s="13">
        <v>28383</v>
      </c>
    </row>
    <row r="1094" spans="3:4" x14ac:dyDescent="0.25">
      <c r="C1094" s="3">
        <v>15.91</v>
      </c>
      <c r="D1094" s="13">
        <v>24372</v>
      </c>
    </row>
    <row r="1095" spans="3:4" x14ac:dyDescent="0.25">
      <c r="C1095" s="3">
        <v>7.37</v>
      </c>
      <c r="D1095" s="13">
        <v>26443</v>
      </c>
    </row>
    <row r="1096" spans="3:4" x14ac:dyDescent="0.25">
      <c r="C1096" s="3">
        <v>12.06</v>
      </c>
      <c r="D1096" s="13">
        <v>104190</v>
      </c>
    </row>
    <row r="1097" spans="3:4" x14ac:dyDescent="0.25">
      <c r="C1097" s="3">
        <v>9.94</v>
      </c>
      <c r="D1097" s="13">
        <v>28216</v>
      </c>
    </row>
    <row r="1098" spans="3:4" x14ac:dyDescent="0.25">
      <c r="C1098" s="3">
        <v>10.9</v>
      </c>
      <c r="D1098" s="13">
        <v>8979</v>
      </c>
    </row>
    <row r="1099" spans="3:4" x14ac:dyDescent="0.25">
      <c r="C1099" s="3">
        <v>10.130000000000001</v>
      </c>
      <c r="D1099" s="13">
        <v>84769</v>
      </c>
    </row>
    <row r="1100" spans="3:4" x14ac:dyDescent="0.25">
      <c r="C1100" s="3">
        <v>11.23</v>
      </c>
      <c r="D1100" s="13">
        <v>28248</v>
      </c>
    </row>
    <row r="1101" spans="3:4" x14ac:dyDescent="0.25">
      <c r="C1101" s="3">
        <v>10.45</v>
      </c>
      <c r="D1101" s="13">
        <v>11403</v>
      </c>
    </row>
    <row r="1102" spans="3:4" x14ac:dyDescent="0.25">
      <c r="C1102" s="3">
        <v>11.65</v>
      </c>
      <c r="D1102" s="13">
        <v>111603</v>
      </c>
    </row>
    <row r="1103" spans="3:4" x14ac:dyDescent="0.25">
      <c r="C1103" s="3">
        <v>11.26</v>
      </c>
      <c r="D1103" s="13">
        <v>4187</v>
      </c>
    </row>
    <row r="1104" spans="3:4" x14ac:dyDescent="0.25">
      <c r="C1104" s="3">
        <v>10.29</v>
      </c>
      <c r="D1104" s="13">
        <v>57614</v>
      </c>
    </row>
    <row r="1105" spans="3:4" x14ac:dyDescent="0.25">
      <c r="C1105" s="3">
        <v>11.33</v>
      </c>
      <c r="D1105" s="13">
        <v>8068</v>
      </c>
    </row>
    <row r="1106" spans="3:4" x14ac:dyDescent="0.25">
      <c r="C1106" s="3">
        <v>6.36</v>
      </c>
      <c r="D1106" s="13">
        <v>41941</v>
      </c>
    </row>
    <row r="1107" spans="3:4" x14ac:dyDescent="0.25">
      <c r="C1107" s="3">
        <v>9.5299999999999994</v>
      </c>
      <c r="D1107" s="13">
        <v>28134</v>
      </c>
    </row>
    <row r="1108" spans="3:4" x14ac:dyDescent="0.25">
      <c r="C1108" s="3">
        <v>12.98</v>
      </c>
      <c r="D1108" s="13">
        <v>8679</v>
      </c>
    </row>
    <row r="1109" spans="3:4" x14ac:dyDescent="0.25">
      <c r="C1109" s="3">
        <v>12.03</v>
      </c>
      <c r="D1109" s="13">
        <v>28408</v>
      </c>
    </row>
    <row r="1110" spans="3:4" x14ac:dyDescent="0.25">
      <c r="C1110" s="3">
        <v>9.93</v>
      </c>
      <c r="D1110" s="13">
        <v>51052</v>
      </c>
    </row>
    <row r="1111" spans="3:4" x14ac:dyDescent="0.25">
      <c r="C1111" s="3">
        <v>10.41</v>
      </c>
      <c r="D1111" s="13">
        <v>25847</v>
      </c>
    </row>
    <row r="1112" spans="3:4" x14ac:dyDescent="0.25">
      <c r="C1112" s="3">
        <v>9.98</v>
      </c>
      <c r="D1112" s="13">
        <v>22470</v>
      </c>
    </row>
    <row r="1113" spans="3:4" x14ac:dyDescent="0.25">
      <c r="C1113" s="3">
        <v>8.74</v>
      </c>
      <c r="D1113" s="13">
        <v>26235</v>
      </c>
    </row>
    <row r="1114" spans="3:4" x14ac:dyDescent="0.25">
      <c r="C1114" s="3">
        <v>10</v>
      </c>
      <c r="D1114" s="13">
        <v>7260</v>
      </c>
    </row>
    <row r="1115" spans="3:4" x14ac:dyDescent="0.25">
      <c r="C1115" s="3">
        <v>6.78</v>
      </c>
      <c r="D1115" s="13">
        <v>21513</v>
      </c>
    </row>
    <row r="1116" spans="3:4" x14ac:dyDescent="0.25">
      <c r="C1116" s="3">
        <v>10.77</v>
      </c>
      <c r="D1116" s="13">
        <v>28781</v>
      </c>
    </row>
    <row r="1117" spans="3:4" x14ac:dyDescent="0.25">
      <c r="C1117" s="3">
        <v>12.8</v>
      </c>
      <c r="D1117" s="13">
        <v>104873</v>
      </c>
    </row>
    <row r="1118" spans="3:4" x14ac:dyDescent="0.25">
      <c r="C1118" s="3">
        <v>8.6199999999999992</v>
      </c>
      <c r="D1118" s="13">
        <v>60452</v>
      </c>
    </row>
    <row r="1119" spans="3:4" x14ac:dyDescent="0.25">
      <c r="C1119" s="3">
        <v>8.77</v>
      </c>
      <c r="D1119" s="13">
        <v>13280</v>
      </c>
    </row>
    <row r="1120" spans="3:4" x14ac:dyDescent="0.25">
      <c r="C1120" s="3">
        <v>8.17</v>
      </c>
      <c r="D1120" s="13">
        <v>5990</v>
      </c>
    </row>
    <row r="1121" spans="3:4" x14ac:dyDescent="0.25">
      <c r="C1121" s="3">
        <v>10.89</v>
      </c>
      <c r="D1121" s="13">
        <v>27019</v>
      </c>
    </row>
    <row r="1122" spans="3:4" x14ac:dyDescent="0.25">
      <c r="C1122" s="3">
        <v>9.8800000000000008</v>
      </c>
      <c r="D1122" s="13">
        <v>23056</v>
      </c>
    </row>
    <row r="1123" spans="3:4" x14ac:dyDescent="0.25">
      <c r="C1123" s="3">
        <v>11.11</v>
      </c>
      <c r="D1123" s="13">
        <v>90311</v>
      </c>
    </row>
    <row r="1124" spans="3:4" x14ac:dyDescent="0.25">
      <c r="C1124" s="3">
        <v>11.92</v>
      </c>
      <c r="D1124" s="13">
        <v>95707</v>
      </c>
    </row>
    <row r="1125" spans="3:4" x14ac:dyDescent="0.25">
      <c r="C1125" s="3">
        <v>6.65</v>
      </c>
      <c r="D1125" s="13">
        <v>14234</v>
      </c>
    </row>
    <row r="1126" spans="3:4" x14ac:dyDescent="0.25">
      <c r="C1126" s="3">
        <v>10.47</v>
      </c>
      <c r="D1126" s="13">
        <v>85416</v>
      </c>
    </row>
    <row r="1127" spans="3:4" x14ac:dyDescent="0.25">
      <c r="C1127" s="3">
        <v>12.72</v>
      </c>
      <c r="D1127" s="13">
        <v>20868</v>
      </c>
    </row>
    <row r="1128" spans="3:4" x14ac:dyDescent="0.25">
      <c r="C1128" s="3">
        <v>12.29</v>
      </c>
      <c r="D1128" s="13">
        <v>116654</v>
      </c>
    </row>
    <row r="1129" spans="3:4" x14ac:dyDescent="0.25">
      <c r="C1129" s="3">
        <v>10.8</v>
      </c>
      <c r="D1129" s="13">
        <v>47259</v>
      </c>
    </row>
    <row r="1130" spans="3:4" x14ac:dyDescent="0.25">
      <c r="C1130" s="3">
        <v>14.25</v>
      </c>
      <c r="D1130" s="13">
        <v>102260</v>
      </c>
    </row>
    <row r="1131" spans="3:4" x14ac:dyDescent="0.25">
      <c r="C1131" s="3">
        <v>8.36</v>
      </c>
      <c r="D1131" s="13">
        <v>35637</v>
      </c>
    </row>
    <row r="1132" spans="3:4" x14ac:dyDescent="0.25">
      <c r="C1132" s="3">
        <v>9.9700000000000006</v>
      </c>
      <c r="D1132" s="13">
        <v>25537</v>
      </c>
    </row>
    <row r="1133" spans="3:4" x14ac:dyDescent="0.25">
      <c r="C1133" s="3">
        <v>11.95</v>
      </c>
      <c r="D1133" s="13">
        <v>14591</v>
      </c>
    </row>
    <row r="1134" spans="3:4" x14ac:dyDescent="0.25">
      <c r="C1134" s="3">
        <v>10.93</v>
      </c>
      <c r="D1134" s="13">
        <v>35896</v>
      </c>
    </row>
    <row r="1135" spans="3:4" x14ac:dyDescent="0.25">
      <c r="C1135" s="3">
        <v>6.2</v>
      </c>
      <c r="D1135" s="13">
        <v>4322</v>
      </c>
    </row>
    <row r="1136" spans="3:4" x14ac:dyDescent="0.25">
      <c r="C1136" s="3">
        <v>7.96</v>
      </c>
      <c r="D1136" s="13">
        <v>21456</v>
      </c>
    </row>
    <row r="1137" spans="3:4" x14ac:dyDescent="0.25">
      <c r="C1137" s="3">
        <v>15.3</v>
      </c>
      <c r="D1137" s="13">
        <v>9234</v>
      </c>
    </row>
    <row r="1138" spans="3:4" x14ac:dyDescent="0.25">
      <c r="C1138" s="3">
        <v>13.43</v>
      </c>
      <c r="D1138" s="13">
        <v>51773</v>
      </c>
    </row>
    <row r="1139" spans="3:4" x14ac:dyDescent="0.25">
      <c r="C1139" s="3">
        <v>6.11</v>
      </c>
      <c r="D1139" s="13">
        <v>24978</v>
      </c>
    </row>
    <row r="1140" spans="3:4" x14ac:dyDescent="0.25">
      <c r="C1140" s="3">
        <v>11.27</v>
      </c>
      <c r="D1140" s="13">
        <v>49183</v>
      </c>
    </row>
    <row r="1141" spans="3:4" x14ac:dyDescent="0.25">
      <c r="C1141" s="3">
        <v>9.3699999999999992</v>
      </c>
      <c r="D1141" s="13">
        <v>27714</v>
      </c>
    </row>
    <row r="1142" spans="3:4" x14ac:dyDescent="0.25">
      <c r="C1142" s="3">
        <v>8.33</v>
      </c>
      <c r="D1142" s="13">
        <v>19059</v>
      </c>
    </row>
    <row r="1143" spans="3:4" x14ac:dyDescent="0.25">
      <c r="C1143" s="3">
        <v>7.41</v>
      </c>
      <c r="D1143" s="13">
        <v>7941</v>
      </c>
    </row>
    <row r="1144" spans="3:4" x14ac:dyDescent="0.25">
      <c r="C1144" s="3">
        <v>10.08</v>
      </c>
      <c r="D1144" s="13">
        <v>9261</v>
      </c>
    </row>
    <row r="1145" spans="3:4" x14ac:dyDescent="0.25">
      <c r="C1145" s="3">
        <v>10.83</v>
      </c>
      <c r="D1145" s="13">
        <v>92247</v>
      </c>
    </row>
    <row r="1146" spans="3:4" x14ac:dyDescent="0.25">
      <c r="C1146" s="3">
        <v>12.36</v>
      </c>
      <c r="D1146" s="13">
        <v>22620</v>
      </c>
    </row>
    <row r="1147" spans="3:4" x14ac:dyDescent="0.25">
      <c r="C1147" s="3">
        <v>10.87</v>
      </c>
      <c r="D1147" s="13">
        <v>19886</v>
      </c>
    </row>
    <row r="1148" spans="3:4" x14ac:dyDescent="0.25">
      <c r="C1148" s="3">
        <v>8.2899999999999991</v>
      </c>
      <c r="D1148" s="13">
        <v>67795</v>
      </c>
    </row>
    <row r="1149" spans="3:4" x14ac:dyDescent="0.25">
      <c r="C1149" s="3">
        <v>10.78</v>
      </c>
      <c r="D1149" s="13">
        <v>15845</v>
      </c>
    </row>
    <row r="1150" spans="3:4" x14ac:dyDescent="0.25">
      <c r="C1150" s="3">
        <v>10.77</v>
      </c>
      <c r="D1150" s="13">
        <v>24076</v>
      </c>
    </row>
    <row r="1151" spans="3:4" x14ac:dyDescent="0.25">
      <c r="C1151" s="3">
        <v>10.92</v>
      </c>
      <c r="D1151" s="13">
        <v>28223</v>
      </c>
    </row>
    <row r="1152" spans="3:4" x14ac:dyDescent="0.25">
      <c r="C1152" s="3">
        <v>10.93</v>
      </c>
      <c r="D1152" s="13">
        <v>131477</v>
      </c>
    </row>
    <row r="1153" spans="3:4" x14ac:dyDescent="0.25">
      <c r="C1153" s="3">
        <v>10.64</v>
      </c>
      <c r="D1153" s="13">
        <v>5654</v>
      </c>
    </row>
    <row r="1154" spans="3:4" x14ac:dyDescent="0.25">
      <c r="C1154" s="3">
        <v>7.17</v>
      </c>
      <c r="D1154" s="13">
        <v>26980</v>
      </c>
    </row>
    <row r="1155" spans="3:4" x14ac:dyDescent="0.25">
      <c r="C1155" s="3">
        <v>11.37</v>
      </c>
      <c r="D1155" s="13">
        <v>14949</v>
      </c>
    </row>
    <row r="1156" spans="3:4" x14ac:dyDescent="0.25">
      <c r="C1156" s="3">
        <v>10.1</v>
      </c>
      <c r="D1156" s="13">
        <v>5509</v>
      </c>
    </row>
    <row r="1157" spans="3:4" x14ac:dyDescent="0.25">
      <c r="C1157" s="3">
        <v>12.16</v>
      </c>
      <c r="D1157" s="13">
        <v>30590</v>
      </c>
    </row>
    <row r="1158" spans="3:4" x14ac:dyDescent="0.25">
      <c r="C1158" s="3">
        <v>10.85</v>
      </c>
      <c r="D1158" s="13">
        <v>102353</v>
      </c>
    </row>
    <row r="1159" spans="3:4" x14ac:dyDescent="0.25">
      <c r="C1159" s="3">
        <v>11.94</v>
      </c>
      <c r="D1159" s="13">
        <v>14076</v>
      </c>
    </row>
    <row r="1160" spans="3:4" x14ac:dyDescent="0.25">
      <c r="C1160" s="3">
        <v>9.31</v>
      </c>
      <c r="D1160" s="13">
        <v>27538</v>
      </c>
    </row>
    <row r="1161" spans="3:4" x14ac:dyDescent="0.25">
      <c r="C1161" s="3">
        <v>7.38</v>
      </c>
      <c r="D1161" s="13">
        <v>18071</v>
      </c>
    </row>
    <row r="1162" spans="3:4" x14ac:dyDescent="0.25">
      <c r="C1162" s="3">
        <v>14.96</v>
      </c>
      <c r="D1162" s="13">
        <v>99307</v>
      </c>
    </row>
    <row r="1163" spans="3:4" x14ac:dyDescent="0.25">
      <c r="C1163" s="3">
        <v>7.73</v>
      </c>
      <c r="D1163" s="13">
        <v>36065</v>
      </c>
    </row>
    <row r="1164" spans="3:4" x14ac:dyDescent="0.25">
      <c r="C1164" s="3">
        <v>10.199999999999999</v>
      </c>
      <c r="D1164" s="13">
        <v>6149</v>
      </c>
    </row>
    <row r="1165" spans="3:4" x14ac:dyDescent="0.25">
      <c r="C1165" s="3">
        <v>13.7</v>
      </c>
      <c r="D1165" s="13">
        <v>9975</v>
      </c>
    </row>
    <row r="1166" spans="3:4" x14ac:dyDescent="0.25">
      <c r="C1166" s="3">
        <v>11.53</v>
      </c>
      <c r="D1166" s="13">
        <v>19318</v>
      </c>
    </row>
    <row r="1167" spans="3:4" x14ac:dyDescent="0.25">
      <c r="C1167" s="3">
        <v>14.04</v>
      </c>
      <c r="D1167" s="13">
        <v>12810</v>
      </c>
    </row>
    <row r="1168" spans="3:4" x14ac:dyDescent="0.25">
      <c r="C1168" s="3">
        <v>12.94</v>
      </c>
      <c r="D1168" s="13">
        <v>47408</v>
      </c>
    </row>
    <row r="1169" spans="3:4" x14ac:dyDescent="0.25">
      <c r="C1169" s="3">
        <v>9.4</v>
      </c>
      <c r="D1169" s="13">
        <v>5502</v>
      </c>
    </row>
    <row r="1170" spans="3:4" x14ac:dyDescent="0.25">
      <c r="C1170" s="3">
        <v>9.44</v>
      </c>
      <c r="D1170" s="13">
        <v>17884</v>
      </c>
    </row>
    <row r="1171" spans="3:4" x14ac:dyDescent="0.25">
      <c r="C1171" s="3">
        <v>8.7100000000000009</v>
      </c>
      <c r="D1171" s="13">
        <v>13070</v>
      </c>
    </row>
    <row r="1172" spans="3:4" x14ac:dyDescent="0.25">
      <c r="C1172" s="3">
        <v>13.46</v>
      </c>
      <c r="D1172" s="13">
        <v>27456</v>
      </c>
    </row>
    <row r="1173" spans="3:4" x14ac:dyDescent="0.25">
      <c r="C1173" s="3">
        <v>8.1999999999999993</v>
      </c>
      <c r="D1173" s="13">
        <v>11324</v>
      </c>
    </row>
    <row r="1174" spans="3:4" x14ac:dyDescent="0.25">
      <c r="C1174" s="3">
        <v>11.73</v>
      </c>
      <c r="D1174" s="13">
        <v>11677</v>
      </c>
    </row>
    <row r="1175" spans="3:4" x14ac:dyDescent="0.25">
      <c r="C1175" s="3">
        <v>11.37</v>
      </c>
      <c r="D1175" s="13">
        <v>15281</v>
      </c>
    </row>
    <row r="1176" spans="3:4" x14ac:dyDescent="0.25">
      <c r="C1176" s="3">
        <v>9.1199999999999992</v>
      </c>
      <c r="D1176" s="13">
        <v>42947</v>
      </c>
    </row>
    <row r="1177" spans="3:4" x14ac:dyDescent="0.25">
      <c r="C1177" s="3">
        <v>8.9</v>
      </c>
      <c r="D1177" s="13">
        <v>56196</v>
      </c>
    </row>
    <row r="1178" spans="3:4" x14ac:dyDescent="0.25">
      <c r="C1178" s="3">
        <v>13.97</v>
      </c>
      <c r="D1178" s="13">
        <v>27734</v>
      </c>
    </row>
    <row r="1179" spans="3:4" x14ac:dyDescent="0.25">
      <c r="C1179" s="3">
        <v>9.75</v>
      </c>
      <c r="D1179" s="13">
        <v>16145</v>
      </c>
    </row>
    <row r="1180" spans="3:4" x14ac:dyDescent="0.25">
      <c r="C1180" s="3">
        <v>10.7</v>
      </c>
      <c r="D1180" s="13">
        <v>11085</v>
      </c>
    </row>
    <row r="1181" spans="3:4" x14ac:dyDescent="0.25">
      <c r="C1181" s="3">
        <v>9.0299999999999994</v>
      </c>
      <c r="D1181" s="13">
        <v>5386</v>
      </c>
    </row>
    <row r="1182" spans="3:4" x14ac:dyDescent="0.25">
      <c r="C1182" s="3">
        <v>8.0399999999999991</v>
      </c>
      <c r="D1182" s="13">
        <v>59719</v>
      </c>
    </row>
    <row r="1183" spans="3:4" x14ac:dyDescent="0.25">
      <c r="C1183" s="3">
        <v>9.1300000000000008</v>
      </c>
      <c r="D1183" s="13">
        <v>16242</v>
      </c>
    </row>
    <row r="1184" spans="3:4" x14ac:dyDescent="0.25">
      <c r="C1184" s="3">
        <v>11.62</v>
      </c>
      <c r="D1184" s="13">
        <v>7249</v>
      </c>
    </row>
    <row r="1185" spans="3:4" x14ac:dyDescent="0.25">
      <c r="C1185" s="3">
        <v>9.94</v>
      </c>
      <c r="D1185" s="13">
        <v>48376</v>
      </c>
    </row>
    <row r="1186" spans="3:4" x14ac:dyDescent="0.25">
      <c r="C1186" s="3">
        <v>13.78</v>
      </c>
      <c r="D1186" s="13">
        <v>19127</v>
      </c>
    </row>
    <row r="1187" spans="3:4" x14ac:dyDescent="0.25">
      <c r="C1187" s="3">
        <v>9.98</v>
      </c>
      <c r="D1187" s="13">
        <v>7127</v>
      </c>
    </row>
    <row r="1188" spans="3:4" x14ac:dyDescent="0.25">
      <c r="C1188" s="3">
        <v>10.1</v>
      </c>
      <c r="D1188" s="13">
        <v>6582</v>
      </c>
    </row>
    <row r="1189" spans="3:4" x14ac:dyDescent="0.25">
      <c r="C1189" s="3">
        <v>9.1199999999999992</v>
      </c>
      <c r="D1189" s="13">
        <v>23618</v>
      </c>
    </row>
    <row r="1190" spans="3:4" x14ac:dyDescent="0.25">
      <c r="C1190" s="3">
        <v>9.5</v>
      </c>
      <c r="D1190" s="13">
        <v>45821</v>
      </c>
    </row>
    <row r="1191" spans="3:4" x14ac:dyDescent="0.25">
      <c r="C1191" s="3">
        <v>7.85</v>
      </c>
      <c r="D1191" s="13">
        <v>21510</v>
      </c>
    </row>
    <row r="1192" spans="3:4" x14ac:dyDescent="0.25">
      <c r="C1192" s="3">
        <v>11.88</v>
      </c>
      <c r="D1192" s="13">
        <v>93663</v>
      </c>
    </row>
    <row r="1193" spans="3:4" x14ac:dyDescent="0.25">
      <c r="C1193" s="3">
        <v>10.89</v>
      </c>
      <c r="D1193" s="13">
        <v>34612</v>
      </c>
    </row>
    <row r="1194" spans="3:4" x14ac:dyDescent="0.25">
      <c r="C1194" s="3">
        <v>8.42</v>
      </c>
      <c r="D1194" s="13">
        <v>54428</v>
      </c>
    </row>
    <row r="1195" spans="3:4" x14ac:dyDescent="0.25">
      <c r="C1195" s="3">
        <v>9.33</v>
      </c>
      <c r="D1195" s="13">
        <v>32817</v>
      </c>
    </row>
    <row r="1196" spans="3:4" x14ac:dyDescent="0.25">
      <c r="C1196" s="3">
        <v>10.92</v>
      </c>
      <c r="D1196" s="13">
        <v>13319</v>
      </c>
    </row>
    <row r="1197" spans="3:4" x14ac:dyDescent="0.25">
      <c r="C1197" s="3">
        <v>7.25</v>
      </c>
      <c r="D1197" s="13">
        <v>34314</v>
      </c>
    </row>
    <row r="1198" spans="3:4" x14ac:dyDescent="0.25">
      <c r="C1198" s="3">
        <v>10.8</v>
      </c>
      <c r="D1198" s="13">
        <v>32548</v>
      </c>
    </row>
    <row r="1199" spans="3:4" x14ac:dyDescent="0.25">
      <c r="C1199" s="3">
        <v>12.19</v>
      </c>
      <c r="D1199" s="13">
        <v>21678</v>
      </c>
    </row>
    <row r="1200" spans="3:4" x14ac:dyDescent="0.25">
      <c r="C1200" s="3">
        <v>7.25</v>
      </c>
      <c r="D1200" s="13">
        <v>10335</v>
      </c>
    </row>
    <row r="1201" spans="3:4" x14ac:dyDescent="0.25">
      <c r="C1201" s="3">
        <v>9.31</v>
      </c>
      <c r="D1201" s="13">
        <v>47097</v>
      </c>
    </row>
    <row r="1202" spans="3:4" x14ac:dyDescent="0.25">
      <c r="C1202" s="3">
        <v>10.01</v>
      </c>
      <c r="D1202" s="13">
        <v>83269</v>
      </c>
    </row>
    <row r="1203" spans="3:4" x14ac:dyDescent="0.25">
      <c r="C1203" s="3">
        <v>11.18</v>
      </c>
      <c r="D1203" s="13">
        <v>14250</v>
      </c>
    </row>
    <row r="1204" spans="3:4" x14ac:dyDescent="0.25">
      <c r="C1204" s="3">
        <v>9.7799999999999994</v>
      </c>
      <c r="D1204" s="13">
        <v>15984</v>
      </c>
    </row>
    <row r="1205" spans="3:4" x14ac:dyDescent="0.25">
      <c r="C1205" s="3">
        <v>8.6</v>
      </c>
      <c r="D1205" s="13">
        <v>12337</v>
      </c>
    </row>
    <row r="1206" spans="3:4" x14ac:dyDescent="0.25">
      <c r="C1206" s="3">
        <v>8.11</v>
      </c>
      <c r="D1206" s="13">
        <v>15497</v>
      </c>
    </row>
    <row r="1207" spans="3:4" x14ac:dyDescent="0.25">
      <c r="C1207" s="3">
        <v>13.46</v>
      </c>
      <c r="D1207" s="13">
        <v>21833</v>
      </c>
    </row>
    <row r="1208" spans="3:4" x14ac:dyDescent="0.25">
      <c r="C1208" s="3">
        <v>10.7</v>
      </c>
      <c r="D1208" s="13">
        <v>5138</v>
      </c>
    </row>
    <row r="1209" spans="3:4" x14ac:dyDescent="0.25">
      <c r="C1209" s="3">
        <v>10.77</v>
      </c>
      <c r="D1209" s="13">
        <v>24910</v>
      </c>
    </row>
    <row r="1210" spans="3:4" x14ac:dyDescent="0.25">
      <c r="C1210" s="3">
        <v>9.09</v>
      </c>
      <c r="D1210" s="13">
        <v>45559</v>
      </c>
    </row>
    <row r="1211" spans="3:4" x14ac:dyDescent="0.25">
      <c r="C1211" s="3">
        <v>5.95</v>
      </c>
      <c r="D1211" s="13">
        <v>12791</v>
      </c>
    </row>
    <row r="1212" spans="3:4" x14ac:dyDescent="0.25">
      <c r="C1212" s="3">
        <v>11.6</v>
      </c>
      <c r="D1212" s="13">
        <v>92277</v>
      </c>
    </row>
    <row r="1213" spans="3:4" x14ac:dyDescent="0.25">
      <c r="C1213" s="3">
        <v>11.13</v>
      </c>
      <c r="D1213" s="13">
        <v>96039</v>
      </c>
    </row>
    <row r="1214" spans="3:4" x14ac:dyDescent="0.25">
      <c r="C1214" s="3">
        <v>8.52</v>
      </c>
      <c r="D1214" s="13">
        <v>50742</v>
      </c>
    </row>
    <row r="1215" spans="3:4" x14ac:dyDescent="0.25">
      <c r="C1215" s="3">
        <v>12.37</v>
      </c>
      <c r="D1215" s="13">
        <v>30868</v>
      </c>
    </row>
    <row r="1216" spans="3:4" x14ac:dyDescent="0.25">
      <c r="C1216" s="3">
        <v>10.29</v>
      </c>
      <c r="D1216" s="13">
        <v>13433</v>
      </c>
    </row>
    <row r="1217" spans="3:4" x14ac:dyDescent="0.25">
      <c r="C1217" s="3">
        <v>11.37</v>
      </c>
      <c r="D1217" s="13">
        <v>58908</v>
      </c>
    </row>
    <row r="1218" spans="3:4" x14ac:dyDescent="0.25">
      <c r="C1218" s="3">
        <v>7.16</v>
      </c>
      <c r="D1218" s="13">
        <v>4256</v>
      </c>
    </row>
    <row r="1219" spans="3:4" x14ac:dyDescent="0.25">
      <c r="C1219" s="3">
        <v>11.1</v>
      </c>
      <c r="D1219" s="13">
        <v>27017</v>
      </c>
    </row>
    <row r="1220" spans="3:4" x14ac:dyDescent="0.25">
      <c r="C1220" s="3">
        <v>10.42</v>
      </c>
      <c r="D1220" s="13">
        <v>9890</v>
      </c>
    </row>
    <row r="1221" spans="3:4" x14ac:dyDescent="0.25">
      <c r="C1221" s="3">
        <v>13.05</v>
      </c>
      <c r="D1221" s="13">
        <v>32225</v>
      </c>
    </row>
    <row r="1222" spans="3:4" x14ac:dyDescent="0.25">
      <c r="C1222" s="3">
        <v>8.36</v>
      </c>
      <c r="D1222" s="13">
        <v>13539</v>
      </c>
    </row>
    <row r="1223" spans="3:4" x14ac:dyDescent="0.25">
      <c r="C1223" s="3">
        <v>12.43</v>
      </c>
      <c r="D1223" s="13">
        <v>10145</v>
      </c>
    </row>
    <row r="1224" spans="3:4" x14ac:dyDescent="0.25">
      <c r="C1224" s="3">
        <v>11.53</v>
      </c>
      <c r="D1224" s="13">
        <v>104154</v>
      </c>
    </row>
    <row r="1225" spans="3:4" x14ac:dyDescent="0.25">
      <c r="C1225" s="3">
        <v>10.07</v>
      </c>
      <c r="D1225" s="13">
        <v>18843</v>
      </c>
    </row>
    <row r="1226" spans="3:4" x14ac:dyDescent="0.25">
      <c r="C1226" s="3">
        <v>7.32</v>
      </c>
      <c r="D1226" s="13">
        <v>11796</v>
      </c>
    </row>
    <row r="1227" spans="3:4" x14ac:dyDescent="0.25">
      <c r="C1227" s="3">
        <v>8.32</v>
      </c>
      <c r="D1227" s="13">
        <v>16484</v>
      </c>
    </row>
    <row r="1228" spans="3:4" x14ac:dyDescent="0.25">
      <c r="C1228" s="3">
        <v>8.43</v>
      </c>
      <c r="D1228" s="13">
        <v>21107</v>
      </c>
    </row>
    <row r="1229" spans="3:4" x14ac:dyDescent="0.25">
      <c r="C1229" s="3">
        <v>8.14</v>
      </c>
      <c r="D1229" s="13">
        <v>65314</v>
      </c>
    </row>
    <row r="1230" spans="3:4" x14ac:dyDescent="0.25">
      <c r="C1230" s="3">
        <v>7.98</v>
      </c>
      <c r="D1230" s="13">
        <v>17146</v>
      </c>
    </row>
    <row r="1231" spans="3:4" x14ac:dyDescent="0.25">
      <c r="C1231" s="3">
        <v>13.27</v>
      </c>
      <c r="D1231" s="13">
        <v>11989</v>
      </c>
    </row>
    <row r="1232" spans="3:4" x14ac:dyDescent="0.25">
      <c r="C1232" s="3">
        <v>5.6</v>
      </c>
      <c r="D1232" s="13">
        <v>16601</v>
      </c>
    </row>
    <row r="1233" spans="3:4" x14ac:dyDescent="0.25">
      <c r="C1233" s="3">
        <v>12.39</v>
      </c>
      <c r="D1233" s="13">
        <v>17905</v>
      </c>
    </row>
    <row r="1234" spans="3:4" x14ac:dyDescent="0.25">
      <c r="C1234" s="3">
        <v>11.48</v>
      </c>
      <c r="D1234" s="13">
        <v>26486</v>
      </c>
    </row>
    <row r="1235" spans="3:4" x14ac:dyDescent="0.25">
      <c r="C1235" s="3">
        <v>10.1</v>
      </c>
      <c r="D1235" s="13">
        <v>29846</v>
      </c>
    </row>
    <row r="1236" spans="3:4" x14ac:dyDescent="0.25">
      <c r="C1236" s="3">
        <v>11.5</v>
      </c>
      <c r="D1236" s="13">
        <v>150053</v>
      </c>
    </row>
    <row r="1237" spans="3:4" x14ac:dyDescent="0.25">
      <c r="C1237" s="3">
        <v>7.27</v>
      </c>
      <c r="D1237" s="13">
        <v>50418</v>
      </c>
    </row>
    <row r="1238" spans="3:4" x14ac:dyDescent="0.25">
      <c r="C1238" s="3">
        <v>8.1999999999999993</v>
      </c>
      <c r="D1238" s="13">
        <v>31199</v>
      </c>
    </row>
    <row r="1239" spans="3:4" x14ac:dyDescent="0.25">
      <c r="C1239" s="3">
        <v>7.77</v>
      </c>
      <c r="D1239" s="13">
        <v>28364</v>
      </c>
    </row>
    <row r="1240" spans="3:4" x14ac:dyDescent="0.25">
      <c r="C1240" s="3">
        <v>9.2799999999999994</v>
      </c>
      <c r="D1240" s="13">
        <v>21289</v>
      </c>
    </row>
    <row r="1241" spans="3:4" x14ac:dyDescent="0.25">
      <c r="C1241" s="3">
        <v>10.36</v>
      </c>
      <c r="D1241" s="13">
        <v>6749</v>
      </c>
    </row>
    <row r="1242" spans="3:4" x14ac:dyDescent="0.25">
      <c r="C1242" s="3">
        <v>7.22</v>
      </c>
      <c r="D1242" s="13">
        <v>36125</v>
      </c>
    </row>
    <row r="1243" spans="3:4" x14ac:dyDescent="0.25">
      <c r="C1243" s="3">
        <v>9.4</v>
      </c>
      <c r="D1243" s="13">
        <v>30561</v>
      </c>
    </row>
    <row r="1244" spans="3:4" x14ac:dyDescent="0.25">
      <c r="C1244" s="3">
        <v>7.57</v>
      </c>
      <c r="D1244" s="13">
        <v>17464</v>
      </c>
    </row>
    <row r="1245" spans="3:4" x14ac:dyDescent="0.25">
      <c r="C1245" s="3">
        <v>14.04</v>
      </c>
      <c r="D1245" s="13">
        <v>8096</v>
      </c>
    </row>
    <row r="1246" spans="3:4" x14ac:dyDescent="0.25">
      <c r="C1246" s="3">
        <v>13.93</v>
      </c>
      <c r="D1246" s="13">
        <v>118175</v>
      </c>
    </row>
    <row r="1247" spans="3:4" x14ac:dyDescent="0.25">
      <c r="C1247" s="3">
        <v>12.32</v>
      </c>
      <c r="D1247" s="13">
        <v>123944</v>
      </c>
    </row>
    <row r="1248" spans="3:4" x14ac:dyDescent="0.25">
      <c r="C1248" s="3">
        <v>7.09</v>
      </c>
      <c r="D1248" s="13">
        <v>10741</v>
      </c>
    </row>
    <row r="1249" spans="3:4" x14ac:dyDescent="0.25">
      <c r="C1249" s="3">
        <v>11.04</v>
      </c>
      <c r="D1249" s="13">
        <v>7929</v>
      </c>
    </row>
    <row r="1250" spans="3:4" x14ac:dyDescent="0.25">
      <c r="C1250" s="3">
        <v>11.11</v>
      </c>
      <c r="D1250" s="13">
        <v>2840</v>
      </c>
    </row>
    <row r="1251" spans="3:4" x14ac:dyDescent="0.25">
      <c r="C1251" s="3">
        <v>8.1</v>
      </c>
      <c r="D1251" s="13">
        <v>14038</v>
      </c>
    </row>
    <row r="1252" spans="3:4" x14ac:dyDescent="0.25">
      <c r="C1252" s="3">
        <v>8.57</v>
      </c>
      <c r="D1252" s="13">
        <v>22754</v>
      </c>
    </row>
    <row r="1253" spans="3:4" x14ac:dyDescent="0.25">
      <c r="C1253" s="3">
        <v>9.8000000000000007</v>
      </c>
      <c r="D1253" s="13">
        <v>15148</v>
      </c>
    </row>
    <row r="1254" spans="3:4" x14ac:dyDescent="0.25">
      <c r="C1254" s="3">
        <v>13.27</v>
      </c>
      <c r="D1254" s="13">
        <v>4085</v>
      </c>
    </row>
    <row r="1255" spans="3:4" x14ac:dyDescent="0.25">
      <c r="C1255" s="3">
        <v>11.21</v>
      </c>
      <c r="D1255" s="13">
        <v>94019</v>
      </c>
    </row>
    <row r="1256" spans="3:4" x14ac:dyDescent="0.25">
      <c r="C1256" s="3">
        <v>9.94</v>
      </c>
      <c r="D1256" s="13">
        <v>46621</v>
      </c>
    </row>
    <row r="1257" spans="3:4" x14ac:dyDescent="0.25">
      <c r="C1257" s="3">
        <v>6.6</v>
      </c>
      <c r="D1257" s="13">
        <v>3104</v>
      </c>
    </row>
    <row r="1258" spans="3:4" x14ac:dyDescent="0.25">
      <c r="C1258" s="3">
        <v>9.1</v>
      </c>
      <c r="D1258" s="13">
        <v>40582</v>
      </c>
    </row>
    <row r="1259" spans="3:4" x14ac:dyDescent="0.25">
      <c r="C1259" s="3">
        <v>9.77</v>
      </c>
      <c r="D1259" s="13">
        <v>39572</v>
      </c>
    </row>
    <row r="1260" spans="3:4" x14ac:dyDescent="0.25">
      <c r="C1260" s="3">
        <v>9.24</v>
      </c>
      <c r="D1260" s="13">
        <v>11038</v>
      </c>
    </row>
    <row r="1261" spans="3:4" x14ac:dyDescent="0.25">
      <c r="C1261" s="3">
        <v>12.63</v>
      </c>
      <c r="D1261" s="13">
        <v>16185</v>
      </c>
    </row>
    <row r="1262" spans="3:4" x14ac:dyDescent="0.25">
      <c r="C1262" s="3">
        <v>12.13</v>
      </c>
      <c r="D1262" s="13">
        <v>28592</v>
      </c>
    </row>
    <row r="1263" spans="3:4" x14ac:dyDescent="0.25">
      <c r="C1263" s="3">
        <v>9.2200000000000006</v>
      </c>
      <c r="D1263" s="13">
        <v>28265</v>
      </c>
    </row>
    <row r="1264" spans="3:4" x14ac:dyDescent="0.25">
      <c r="C1264" s="3">
        <v>12.57</v>
      </c>
      <c r="D1264" s="13">
        <v>75159</v>
      </c>
    </row>
    <row r="1265" spans="3:4" x14ac:dyDescent="0.25">
      <c r="C1265" s="3">
        <v>7.73</v>
      </c>
      <c r="D1265" s="13">
        <v>25494</v>
      </c>
    </row>
    <row r="1266" spans="3:4" x14ac:dyDescent="0.25">
      <c r="C1266" s="3">
        <v>6.84</v>
      </c>
      <c r="D1266" s="13">
        <v>11361</v>
      </c>
    </row>
    <row r="1267" spans="3:4" x14ac:dyDescent="0.25">
      <c r="C1267" s="3">
        <v>12.37</v>
      </c>
      <c r="D1267" s="13">
        <v>8193</v>
      </c>
    </row>
    <row r="1268" spans="3:4" x14ac:dyDescent="0.25">
      <c r="C1268" s="3">
        <v>9.35</v>
      </c>
      <c r="D1268" s="13">
        <v>16925</v>
      </c>
    </row>
    <row r="1269" spans="3:4" x14ac:dyDescent="0.25">
      <c r="C1269" s="3">
        <v>9.9700000000000006</v>
      </c>
      <c r="D1269" s="13">
        <v>18344</v>
      </c>
    </row>
    <row r="1270" spans="3:4" x14ac:dyDescent="0.25">
      <c r="C1270" s="3">
        <v>11.12</v>
      </c>
      <c r="D1270" s="13">
        <v>25927</v>
      </c>
    </row>
    <row r="1271" spans="3:4" x14ac:dyDescent="0.25">
      <c r="C1271" s="3">
        <v>7.92</v>
      </c>
      <c r="D1271" s="13">
        <v>67316</v>
      </c>
    </row>
    <row r="1272" spans="3:4" x14ac:dyDescent="0.25">
      <c r="C1272" s="3">
        <v>10.17</v>
      </c>
      <c r="D1272" s="13">
        <v>26761</v>
      </c>
    </row>
    <row r="1273" spans="3:4" x14ac:dyDescent="0.25">
      <c r="C1273" s="3">
        <v>10.36</v>
      </c>
      <c r="D1273" s="13">
        <v>85635</v>
      </c>
    </row>
    <row r="1274" spans="3:4" x14ac:dyDescent="0.25">
      <c r="C1274" s="3">
        <v>11.1</v>
      </c>
      <c r="D1274" s="13">
        <v>4701</v>
      </c>
    </row>
    <row r="1275" spans="3:4" x14ac:dyDescent="0.25">
      <c r="C1275" s="3">
        <v>9.17</v>
      </c>
      <c r="D1275" s="13">
        <v>21538</v>
      </c>
    </row>
    <row r="1276" spans="3:4" x14ac:dyDescent="0.25">
      <c r="C1276" s="3">
        <v>11.3</v>
      </c>
      <c r="D1276" s="13">
        <v>8231</v>
      </c>
    </row>
    <row r="1277" spans="3:4" x14ac:dyDescent="0.25">
      <c r="C1277" s="3">
        <v>11.5</v>
      </c>
      <c r="D1277" s="13">
        <v>7555</v>
      </c>
    </row>
    <row r="1278" spans="3:4" x14ac:dyDescent="0.25">
      <c r="C1278" s="3">
        <v>8.51</v>
      </c>
      <c r="D1278" s="13">
        <v>36196</v>
      </c>
    </row>
    <row r="1279" spans="3:4" x14ac:dyDescent="0.25">
      <c r="C1279" s="3">
        <v>9.1999999999999993</v>
      </c>
      <c r="D1279" s="13">
        <v>11868</v>
      </c>
    </row>
    <row r="1280" spans="3:4" x14ac:dyDescent="0.25">
      <c r="C1280" s="3">
        <v>9.02</v>
      </c>
      <c r="D1280" s="13">
        <v>42608</v>
      </c>
    </row>
    <row r="1281" spans="3:4" x14ac:dyDescent="0.25">
      <c r="C1281" s="3">
        <v>7.9</v>
      </c>
      <c r="D1281" s="13">
        <v>27398</v>
      </c>
    </row>
    <row r="1282" spans="3:4" x14ac:dyDescent="0.25">
      <c r="C1282" s="3">
        <v>10.130000000000001</v>
      </c>
      <c r="D1282" s="13">
        <v>6855</v>
      </c>
    </row>
    <row r="1283" spans="3:4" x14ac:dyDescent="0.25">
      <c r="C1283" s="3">
        <v>9.91</v>
      </c>
      <c r="D1283" s="13">
        <v>10893</v>
      </c>
    </row>
    <row r="1284" spans="3:4" x14ac:dyDescent="0.25">
      <c r="C1284" s="3">
        <v>9.98</v>
      </c>
      <c r="D1284" s="13">
        <v>56155</v>
      </c>
    </row>
    <row r="1285" spans="3:4" x14ac:dyDescent="0.25">
      <c r="C1285" s="3">
        <v>8.93</v>
      </c>
      <c r="D1285" s="13">
        <v>10473</v>
      </c>
    </row>
    <row r="1286" spans="3:4" x14ac:dyDescent="0.25">
      <c r="C1286" s="3">
        <v>11.11</v>
      </c>
      <c r="D1286" s="13">
        <v>20709</v>
      </c>
    </row>
    <row r="1287" spans="3:4" x14ac:dyDescent="0.25">
      <c r="C1287" s="3">
        <v>9.2200000000000006</v>
      </c>
      <c r="D1287" s="13">
        <v>61339</v>
      </c>
    </row>
    <row r="1288" spans="3:4" x14ac:dyDescent="0.25">
      <c r="C1288" s="3">
        <v>7.22</v>
      </c>
      <c r="D1288" s="13">
        <v>35709</v>
      </c>
    </row>
    <row r="1289" spans="3:4" x14ac:dyDescent="0.25">
      <c r="C1289" s="3">
        <v>10.01</v>
      </c>
      <c r="D1289" s="13">
        <v>4301</v>
      </c>
    </row>
    <row r="1290" spans="3:4" x14ac:dyDescent="0.25">
      <c r="C1290" s="3">
        <v>12.1</v>
      </c>
      <c r="D1290" s="13">
        <v>118510</v>
      </c>
    </row>
    <row r="1291" spans="3:4" x14ac:dyDescent="0.25">
      <c r="C1291" s="3">
        <v>8.11</v>
      </c>
      <c r="D1291" s="13">
        <v>21337</v>
      </c>
    </row>
    <row r="1292" spans="3:4" x14ac:dyDescent="0.25">
      <c r="C1292" s="3">
        <v>5.76</v>
      </c>
      <c r="D1292" s="13">
        <v>9332</v>
      </c>
    </row>
    <row r="1293" spans="3:4" x14ac:dyDescent="0.25">
      <c r="C1293" s="3">
        <v>8.6300000000000008</v>
      </c>
      <c r="D1293" s="13">
        <v>13681</v>
      </c>
    </row>
    <row r="1294" spans="3:4" x14ac:dyDescent="0.25">
      <c r="C1294" s="3">
        <v>13.13</v>
      </c>
      <c r="D1294" s="13">
        <v>95861</v>
      </c>
    </row>
    <row r="1295" spans="3:4" x14ac:dyDescent="0.25">
      <c r="C1295" s="3">
        <v>11.44</v>
      </c>
      <c r="D1295" s="13">
        <v>17869</v>
      </c>
    </row>
    <row r="1296" spans="3:4" x14ac:dyDescent="0.25">
      <c r="C1296" s="3">
        <v>6.65</v>
      </c>
      <c r="D1296" s="13">
        <v>17835</v>
      </c>
    </row>
    <row r="1297" spans="3:4" x14ac:dyDescent="0.25">
      <c r="C1297" s="3">
        <v>11.63</v>
      </c>
      <c r="D1297" s="13">
        <v>87072</v>
      </c>
    </row>
    <row r="1298" spans="3:4" x14ac:dyDescent="0.25">
      <c r="C1298" s="3">
        <v>7.74</v>
      </c>
      <c r="D1298" s="13">
        <v>3788</v>
      </c>
    </row>
    <row r="1299" spans="3:4" x14ac:dyDescent="0.25">
      <c r="C1299" s="3">
        <v>8.58</v>
      </c>
      <c r="D1299" s="13">
        <v>23255</v>
      </c>
    </row>
    <row r="1300" spans="3:4" x14ac:dyDescent="0.25">
      <c r="C1300" s="3">
        <v>8.39</v>
      </c>
      <c r="D1300" s="13">
        <v>29828</v>
      </c>
    </row>
    <row r="1301" spans="3:4" x14ac:dyDescent="0.25">
      <c r="C1301" s="3">
        <v>7.33</v>
      </c>
      <c r="D1301" s="13">
        <v>4912</v>
      </c>
    </row>
    <row r="1302" spans="3:4" x14ac:dyDescent="0.25">
      <c r="C1302" s="3">
        <v>8.7100000000000009</v>
      </c>
      <c r="D1302" s="13">
        <v>4272</v>
      </c>
    </row>
    <row r="1303" spans="3:4" x14ac:dyDescent="0.25">
      <c r="C1303" s="3">
        <v>8.84</v>
      </c>
      <c r="D1303" s="13">
        <v>10851</v>
      </c>
    </row>
    <row r="1304" spans="3:4" x14ac:dyDescent="0.25">
      <c r="C1304" s="3">
        <v>9.15</v>
      </c>
      <c r="D1304" s="13">
        <v>13154</v>
      </c>
    </row>
    <row r="1305" spans="3:4" x14ac:dyDescent="0.25">
      <c r="C1305" s="3">
        <v>8.58</v>
      </c>
      <c r="D1305" s="13">
        <v>6777</v>
      </c>
    </row>
    <row r="1306" spans="3:4" x14ac:dyDescent="0.25">
      <c r="C1306" s="3">
        <v>10.119999999999999</v>
      </c>
      <c r="D1306" s="13">
        <v>156482</v>
      </c>
    </row>
    <row r="1307" spans="3:4" x14ac:dyDescent="0.25">
      <c r="C1307" s="3">
        <v>10.29</v>
      </c>
      <c r="D1307" s="13">
        <v>116795</v>
      </c>
    </row>
    <row r="1308" spans="3:4" x14ac:dyDescent="0.25">
      <c r="C1308" s="3">
        <v>6.93</v>
      </c>
      <c r="D1308" s="13">
        <v>8022</v>
      </c>
    </row>
    <row r="1309" spans="3:4" x14ac:dyDescent="0.25">
      <c r="C1309" s="3">
        <v>9.27</v>
      </c>
      <c r="D1309" s="13">
        <v>94574</v>
      </c>
    </row>
    <row r="1310" spans="3:4" x14ac:dyDescent="0.25">
      <c r="C1310" s="3">
        <v>8.1999999999999993</v>
      </c>
      <c r="D1310" s="13">
        <v>53148</v>
      </c>
    </row>
    <row r="1311" spans="3:4" x14ac:dyDescent="0.25">
      <c r="C1311" s="3">
        <v>9.24</v>
      </c>
      <c r="D1311" s="13">
        <v>6162</v>
      </c>
    </row>
    <row r="1312" spans="3:4" x14ac:dyDescent="0.25">
      <c r="C1312" s="3">
        <v>7.28</v>
      </c>
      <c r="D1312" s="13">
        <v>40288</v>
      </c>
    </row>
    <row r="1313" spans="3:4" x14ac:dyDescent="0.25">
      <c r="C1313" s="3">
        <v>9.3699999999999992</v>
      </c>
      <c r="D1313" s="13">
        <v>53681</v>
      </c>
    </row>
    <row r="1314" spans="3:4" x14ac:dyDescent="0.25">
      <c r="C1314" s="3">
        <v>10.07</v>
      </c>
      <c r="D1314" s="13">
        <v>84752</v>
      </c>
    </row>
    <row r="1315" spans="3:4" x14ac:dyDescent="0.25">
      <c r="C1315" s="3">
        <v>10.73</v>
      </c>
      <c r="D1315" s="13">
        <v>17190</v>
      </c>
    </row>
    <row r="1316" spans="3:4" x14ac:dyDescent="0.25">
      <c r="C1316" s="3">
        <v>8.77</v>
      </c>
      <c r="D1316" s="13">
        <v>17352</v>
      </c>
    </row>
    <row r="1317" spans="3:4" x14ac:dyDescent="0.25">
      <c r="C1317" s="3">
        <v>8.9</v>
      </c>
      <c r="D1317" s="13">
        <v>11429</v>
      </c>
    </row>
    <row r="1318" spans="3:4" x14ac:dyDescent="0.25">
      <c r="C1318" s="3">
        <v>14.3</v>
      </c>
      <c r="D1318" s="13">
        <v>11341</v>
      </c>
    </row>
    <row r="1319" spans="3:4" x14ac:dyDescent="0.25">
      <c r="C1319" s="3">
        <v>11.57</v>
      </c>
      <c r="D1319" s="13">
        <v>90994</v>
      </c>
    </row>
    <row r="1320" spans="3:4" x14ac:dyDescent="0.25">
      <c r="C1320" s="3">
        <v>7.89</v>
      </c>
      <c r="D1320" s="13">
        <v>46915</v>
      </c>
    </row>
    <row r="1321" spans="3:4" x14ac:dyDescent="0.25">
      <c r="C1321" s="3">
        <v>9.44</v>
      </c>
      <c r="D1321" s="13">
        <v>28181</v>
      </c>
    </row>
    <row r="1322" spans="3:4" x14ac:dyDescent="0.25">
      <c r="C1322" s="3">
        <v>6.87</v>
      </c>
      <c r="D1322" s="13">
        <v>4329</v>
      </c>
    </row>
    <row r="1323" spans="3:4" x14ac:dyDescent="0.25">
      <c r="C1323" s="3">
        <v>17.71</v>
      </c>
      <c r="D1323" s="13">
        <v>2909</v>
      </c>
    </row>
    <row r="1324" spans="3:4" x14ac:dyDescent="0.25">
      <c r="C1324" s="3">
        <v>13.24</v>
      </c>
      <c r="D1324" s="13">
        <v>48742</v>
      </c>
    </row>
    <row r="1325" spans="3:4" x14ac:dyDescent="0.25">
      <c r="C1325" s="3">
        <v>8.77</v>
      </c>
      <c r="D1325" s="13">
        <v>18004</v>
      </c>
    </row>
    <row r="1326" spans="3:4" x14ac:dyDescent="0.25">
      <c r="C1326" s="3">
        <v>10.36</v>
      </c>
      <c r="D1326" s="13">
        <v>13563</v>
      </c>
    </row>
    <row r="1327" spans="3:4" x14ac:dyDescent="0.25">
      <c r="C1327" s="3">
        <v>8.9</v>
      </c>
      <c r="D1327" s="13">
        <v>70253</v>
      </c>
    </row>
    <row r="1328" spans="3:4" x14ac:dyDescent="0.25">
      <c r="C1328" s="3">
        <v>12.94</v>
      </c>
      <c r="D1328" s="13">
        <v>32453</v>
      </c>
    </row>
    <row r="1329" spans="3:4" x14ac:dyDescent="0.25">
      <c r="C1329" s="3">
        <v>13.46</v>
      </c>
      <c r="D1329" s="13">
        <v>109741</v>
      </c>
    </row>
    <row r="1330" spans="3:4" x14ac:dyDescent="0.25">
      <c r="C1330" s="3">
        <v>8.64</v>
      </c>
      <c r="D1330" s="13">
        <v>10600</v>
      </c>
    </row>
    <row r="1331" spans="3:4" x14ac:dyDescent="0.25">
      <c r="C1331" s="3">
        <v>11.18</v>
      </c>
      <c r="D1331" s="13">
        <v>32858</v>
      </c>
    </row>
    <row r="1332" spans="3:4" x14ac:dyDescent="0.25">
      <c r="C1332" s="3">
        <v>10.96</v>
      </c>
      <c r="D1332" s="13">
        <v>17625</v>
      </c>
    </row>
    <row r="1333" spans="3:4" x14ac:dyDescent="0.25">
      <c r="C1333" s="3">
        <v>10.01</v>
      </c>
      <c r="D1333" s="13">
        <v>23445</v>
      </c>
    </row>
    <row r="1334" spans="3:4" x14ac:dyDescent="0.25">
      <c r="C1334" s="3">
        <v>8.08</v>
      </c>
      <c r="D1334" s="13">
        <v>55989</v>
      </c>
    </row>
    <row r="1335" spans="3:4" x14ac:dyDescent="0.25">
      <c r="C1335" s="3">
        <v>12.87</v>
      </c>
      <c r="D1335" s="13">
        <v>25813</v>
      </c>
    </row>
    <row r="1336" spans="3:4" x14ac:dyDescent="0.25">
      <c r="C1336" s="3">
        <v>8.58</v>
      </c>
      <c r="D1336" s="13">
        <v>31573</v>
      </c>
    </row>
    <row r="1337" spans="3:4" x14ac:dyDescent="0.25">
      <c r="C1337" s="3">
        <v>11.13</v>
      </c>
      <c r="D1337" s="13">
        <v>26990</v>
      </c>
    </row>
    <row r="1338" spans="3:4" x14ac:dyDescent="0.25">
      <c r="C1338" s="3">
        <v>14.9</v>
      </c>
      <c r="D1338" s="13">
        <v>28529</v>
      </c>
    </row>
    <row r="1339" spans="3:4" x14ac:dyDescent="0.25">
      <c r="C1339" s="3">
        <v>10.32</v>
      </c>
      <c r="D1339" s="13">
        <v>26501</v>
      </c>
    </row>
    <row r="1340" spans="3:4" x14ac:dyDescent="0.25">
      <c r="C1340" s="3">
        <v>10.64</v>
      </c>
      <c r="D1340" s="13">
        <v>5515</v>
      </c>
    </row>
    <row r="1341" spans="3:4" x14ac:dyDescent="0.25">
      <c r="C1341" s="3">
        <v>12.28</v>
      </c>
      <c r="D1341" s="13">
        <v>4075</v>
      </c>
    </row>
    <row r="1342" spans="3:4" x14ac:dyDescent="0.25">
      <c r="C1342" s="3">
        <v>8.6</v>
      </c>
      <c r="D1342" s="13">
        <v>5020</v>
      </c>
    </row>
    <row r="1343" spans="3:4" ht="15.75" thickBot="1" x14ac:dyDescent="0.3">
      <c r="C1343" s="4">
        <v>9.69</v>
      </c>
      <c r="D1343" s="14">
        <v>72853</v>
      </c>
    </row>
  </sheetData>
  <autoFilter ref="C5:D1343" xr:uid="{AC941A26-36F8-480C-86E1-88944D45A7F0}"/>
  <mergeCells count="1">
    <mergeCell ref="G17:V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E300-B5B9-4FBF-9FE5-14CE4A1DDA54}">
  <dimension ref="B2:V582"/>
  <sheetViews>
    <sheetView showGridLines="0" showRowColHeaders="0" zoomScale="120" zoomScaleNormal="120" workbookViewId="0"/>
  </sheetViews>
  <sheetFormatPr defaultRowHeight="15" x14ac:dyDescent="0.25"/>
  <cols>
    <col min="11" max="11" width="18.5703125" bestFit="1" customWidth="1"/>
  </cols>
  <sheetData>
    <row r="2" spans="2:15" ht="18.75" x14ac:dyDescent="0.3">
      <c r="B2" s="15" t="s">
        <v>55</v>
      </c>
    </row>
    <row r="6" spans="2:15" x14ac:dyDescent="0.25">
      <c r="B6" s="46" t="s">
        <v>57</v>
      </c>
      <c r="C6" s="16">
        <f>_xlfn.STDEV.P(C9:C582)</f>
        <v>30032.043358713163</v>
      </c>
      <c r="D6" s="16">
        <f>_xlfn.STDEV.P(D9:D332)</f>
        <v>29513.438679318577</v>
      </c>
      <c r="E6" s="16">
        <f>_xlfn.STDEV.P(E9:E248)</f>
        <v>32161.210140477153</v>
      </c>
      <c r="F6" s="16">
        <f>_xlfn.STDEV.P(F9:F165)</f>
        <v>30728.809492664437</v>
      </c>
      <c r="G6" s="16">
        <f>_xlfn.STDEV.P(G9:G33)</f>
        <v>22386.456887538054</v>
      </c>
      <c r="H6" s="16">
        <f>_xlfn.STDEV.P(H9:H26)</f>
        <v>9252.794430753218</v>
      </c>
      <c r="K6" s="16" t="s">
        <v>19</v>
      </c>
      <c r="L6" s="16" t="s">
        <v>56</v>
      </c>
      <c r="M6" s="16" t="s">
        <v>57</v>
      </c>
      <c r="O6" t="s">
        <v>102</v>
      </c>
    </row>
    <row r="7" spans="2:15" x14ac:dyDescent="0.25">
      <c r="B7" s="46" t="s">
        <v>56</v>
      </c>
      <c r="C7" s="16">
        <f>AVERAGE(C9:C582)</f>
        <v>30914.940766550524</v>
      </c>
      <c r="D7" s="16">
        <f>AVERAGE(D9:D332)</f>
        <v>31827.935185185186</v>
      </c>
      <c r="E7" s="16">
        <f>AVERAGE(E9:E248)</f>
        <v>37683.908333333333</v>
      </c>
      <c r="F7" s="16">
        <f>AVERAGE(F9:F165)</f>
        <v>38388.305732484077</v>
      </c>
      <c r="G7" s="16">
        <f>AVERAGE(G9:G33)</f>
        <v>34626.68</v>
      </c>
      <c r="H7" s="16">
        <f>AVERAGE(H9:H26)</f>
        <v>21965</v>
      </c>
      <c r="K7" s="1">
        <v>0</v>
      </c>
      <c r="L7" s="16">
        <v>30914.940766550524</v>
      </c>
      <c r="M7" s="16">
        <v>30032.043358713163</v>
      </c>
    </row>
    <row r="8" spans="2:15" ht="15.75" thickBot="1" x14ac:dyDescent="0.3">
      <c r="B8" s="46" t="s">
        <v>19</v>
      </c>
      <c r="C8" s="47">
        <v>0</v>
      </c>
      <c r="D8" s="48">
        <v>1</v>
      </c>
      <c r="E8" s="48">
        <v>2</v>
      </c>
      <c r="F8" s="48">
        <v>3</v>
      </c>
      <c r="G8" s="48">
        <v>4</v>
      </c>
      <c r="H8" s="49">
        <v>5</v>
      </c>
      <c r="K8" s="1">
        <v>1</v>
      </c>
      <c r="L8" s="16">
        <v>31827.935185185186</v>
      </c>
      <c r="M8" s="16">
        <v>29513.438679318577</v>
      </c>
    </row>
    <row r="9" spans="2:15" x14ac:dyDescent="0.25">
      <c r="C9" s="21">
        <v>42212</v>
      </c>
      <c r="D9" s="42">
        <v>4314</v>
      </c>
      <c r="E9" s="42">
        <v>16016</v>
      </c>
      <c r="F9" s="42">
        <v>11124</v>
      </c>
      <c r="G9" s="42">
        <v>11262</v>
      </c>
      <c r="H9" s="22">
        <v>11719</v>
      </c>
      <c r="K9" s="1">
        <v>2</v>
      </c>
      <c r="L9" s="16">
        <v>37683.908333333333</v>
      </c>
      <c r="M9" s="16">
        <v>32161.210140477153</v>
      </c>
    </row>
    <row r="10" spans="2:15" x14ac:dyDescent="0.25">
      <c r="C10" s="17">
        <v>54961</v>
      </c>
      <c r="D10" s="16">
        <v>20601</v>
      </c>
      <c r="E10" s="16">
        <v>15510</v>
      </c>
      <c r="F10" s="16">
        <v>18204</v>
      </c>
      <c r="G10" s="16">
        <v>27584</v>
      </c>
      <c r="H10" s="18">
        <v>16999</v>
      </c>
      <c r="K10" s="1">
        <v>3</v>
      </c>
      <c r="L10" s="16">
        <v>38388.305732484077</v>
      </c>
      <c r="M10" s="16">
        <v>30728.809492664437</v>
      </c>
    </row>
    <row r="11" spans="2:15" x14ac:dyDescent="0.25">
      <c r="C11" s="17">
        <v>9667</v>
      </c>
      <c r="D11" s="16">
        <v>4593</v>
      </c>
      <c r="E11" s="16">
        <v>30672</v>
      </c>
      <c r="F11" s="16">
        <v>35003</v>
      </c>
      <c r="G11" s="16">
        <v>26018</v>
      </c>
      <c r="H11" s="18">
        <v>12077</v>
      </c>
      <c r="K11" s="1">
        <v>4</v>
      </c>
      <c r="L11" s="16">
        <v>34626.68</v>
      </c>
      <c r="M11" s="16">
        <v>22386.456887538054</v>
      </c>
    </row>
    <row r="12" spans="2:15" x14ac:dyDescent="0.25">
      <c r="C12" s="17">
        <v>9392</v>
      </c>
      <c r="D12" s="16">
        <v>26993</v>
      </c>
      <c r="E12" s="16">
        <v>96778</v>
      </c>
      <c r="F12" s="16">
        <v>39030</v>
      </c>
      <c r="G12" s="16">
        <v>20407</v>
      </c>
      <c r="H12" s="18">
        <v>12700</v>
      </c>
      <c r="K12" s="1">
        <v>5</v>
      </c>
      <c r="L12" s="16">
        <v>21965</v>
      </c>
      <c r="M12" s="16">
        <v>9252.794430753218</v>
      </c>
    </row>
    <row r="13" spans="2:15" x14ac:dyDescent="0.25">
      <c r="C13" s="17">
        <v>72308</v>
      </c>
      <c r="D13" s="16">
        <v>10374</v>
      </c>
      <c r="E13" s="16">
        <v>12374</v>
      </c>
      <c r="F13" s="16">
        <v>20149</v>
      </c>
      <c r="G13" s="16">
        <v>28800</v>
      </c>
      <c r="H13" s="18">
        <v>24472</v>
      </c>
    </row>
    <row r="14" spans="2:15" x14ac:dyDescent="0.25">
      <c r="C14" s="17">
        <v>6803</v>
      </c>
      <c r="D14" s="16">
        <v>94255</v>
      </c>
      <c r="E14" s="16">
        <v>15784</v>
      </c>
      <c r="F14" s="16">
        <v>21516</v>
      </c>
      <c r="G14" s="16">
        <v>61679</v>
      </c>
      <c r="H14" s="18">
        <v>31481</v>
      </c>
      <c r="K14" t="s">
        <v>58</v>
      </c>
    </row>
    <row r="15" spans="2:15" x14ac:dyDescent="0.25">
      <c r="C15" s="17">
        <v>69522</v>
      </c>
      <c r="D15" s="16">
        <v>6938</v>
      </c>
      <c r="E15" s="16">
        <v>8483</v>
      </c>
      <c r="F15" s="16">
        <v>44158</v>
      </c>
      <c r="G15" s="16">
        <v>27443</v>
      </c>
      <c r="H15" s="18">
        <v>28882</v>
      </c>
    </row>
    <row r="16" spans="2:15" ht="15.75" thickBot="1" x14ac:dyDescent="0.3">
      <c r="C16" s="17">
        <v>4567</v>
      </c>
      <c r="D16" s="16">
        <v>127986</v>
      </c>
      <c r="E16" s="16">
        <v>8950</v>
      </c>
      <c r="F16" s="16">
        <v>29354</v>
      </c>
      <c r="G16" s="16">
        <v>26842</v>
      </c>
      <c r="H16" s="18">
        <v>16666</v>
      </c>
      <c r="K16" t="s">
        <v>59</v>
      </c>
    </row>
    <row r="17" spans="3:17" x14ac:dyDescent="0.25">
      <c r="C17" s="17">
        <v>27727</v>
      </c>
      <c r="D17" s="16">
        <v>99436</v>
      </c>
      <c r="E17" s="16">
        <v>118741</v>
      </c>
      <c r="F17" s="16">
        <v>75462</v>
      </c>
      <c r="G17" s="16">
        <v>18781</v>
      </c>
      <c r="H17" s="18">
        <v>16634</v>
      </c>
      <c r="K17" s="35" t="s">
        <v>60</v>
      </c>
      <c r="L17" s="34" t="s">
        <v>61</v>
      </c>
      <c r="M17" s="34" t="s">
        <v>62</v>
      </c>
      <c r="N17" s="34" t="s">
        <v>56</v>
      </c>
      <c r="O17" s="36" t="s">
        <v>39</v>
      </c>
    </row>
    <row r="18" spans="3:17" x14ac:dyDescent="0.25">
      <c r="C18" s="17">
        <v>99029</v>
      </c>
      <c r="D18" s="16">
        <v>15681</v>
      </c>
      <c r="E18" s="16">
        <v>34018</v>
      </c>
      <c r="F18" s="16">
        <v>30263</v>
      </c>
      <c r="G18" s="16">
        <v>44855</v>
      </c>
      <c r="H18" s="18">
        <v>25242</v>
      </c>
      <c r="K18" s="37">
        <v>0</v>
      </c>
      <c r="L18">
        <v>574</v>
      </c>
      <c r="M18">
        <v>17745176</v>
      </c>
      <c r="N18">
        <v>30914.940766550524</v>
      </c>
      <c r="O18" s="38">
        <v>903497666.04535091</v>
      </c>
    </row>
    <row r="19" spans="3:17" x14ac:dyDescent="0.25">
      <c r="C19" s="17">
        <v>5988</v>
      </c>
      <c r="D19" s="16">
        <v>15199</v>
      </c>
      <c r="E19" s="16">
        <v>85758</v>
      </c>
      <c r="F19" s="16">
        <v>77355</v>
      </c>
      <c r="G19" s="16">
        <v>100456</v>
      </c>
      <c r="H19" s="18">
        <v>22414</v>
      </c>
      <c r="K19" s="37">
        <v>1</v>
      </c>
      <c r="L19">
        <v>324</v>
      </c>
      <c r="M19">
        <v>10312251</v>
      </c>
      <c r="N19">
        <v>31827.935185185186</v>
      </c>
      <c r="O19" s="38">
        <v>873739790.42612672</v>
      </c>
    </row>
    <row r="20" spans="3:17" x14ac:dyDescent="0.25">
      <c r="C20" s="17">
        <v>26506</v>
      </c>
      <c r="D20" s="16">
        <v>96773</v>
      </c>
      <c r="E20" s="16">
        <v>14974</v>
      </c>
      <c r="F20" s="16">
        <v>28721</v>
      </c>
      <c r="G20" s="16">
        <v>32373</v>
      </c>
      <c r="H20" s="18">
        <v>21492</v>
      </c>
      <c r="K20" s="37">
        <v>2</v>
      </c>
      <c r="L20">
        <v>240</v>
      </c>
      <c r="M20">
        <v>9044138</v>
      </c>
      <c r="N20">
        <v>37683.908333333333</v>
      </c>
      <c r="O20" s="38">
        <v>1038671234.5103905</v>
      </c>
    </row>
    <row r="21" spans="3:17" x14ac:dyDescent="0.25">
      <c r="C21" s="17">
        <v>92094</v>
      </c>
      <c r="D21" s="16">
        <v>58921</v>
      </c>
      <c r="E21" s="16">
        <v>35588</v>
      </c>
      <c r="F21" s="16">
        <v>25288</v>
      </c>
      <c r="G21" s="16">
        <v>35986</v>
      </c>
      <c r="H21" s="18">
        <v>12288</v>
      </c>
      <c r="K21" s="37">
        <v>3</v>
      </c>
      <c r="L21">
        <v>157</v>
      </c>
      <c r="M21">
        <v>6026964</v>
      </c>
      <c r="N21">
        <v>38388.305732484077</v>
      </c>
      <c r="O21" s="38">
        <v>950312679.84182584</v>
      </c>
    </row>
    <row r="22" spans="3:17" x14ac:dyDescent="0.25">
      <c r="C22" s="17">
        <v>33072</v>
      </c>
      <c r="D22" s="16">
        <v>58112</v>
      </c>
      <c r="E22" s="16">
        <v>19317</v>
      </c>
      <c r="F22" s="16">
        <v>68307</v>
      </c>
      <c r="G22" s="16">
        <v>42821</v>
      </c>
      <c r="H22" s="18">
        <v>47558</v>
      </c>
      <c r="K22" s="37">
        <v>4</v>
      </c>
      <c r="L22">
        <v>25</v>
      </c>
      <c r="M22">
        <v>865667</v>
      </c>
      <c r="N22">
        <v>34626.68</v>
      </c>
      <c r="O22" s="38">
        <v>522034845.80999994</v>
      </c>
    </row>
    <row r="23" spans="3:17" ht="15.75" thickBot="1" x14ac:dyDescent="0.3">
      <c r="C23" s="17">
        <v>2843</v>
      </c>
      <c r="D23" s="16">
        <v>75417</v>
      </c>
      <c r="E23" s="16">
        <v>99591</v>
      </c>
      <c r="F23" s="16">
        <v>51865</v>
      </c>
      <c r="G23" s="16">
        <v>12195</v>
      </c>
      <c r="H23" s="18">
        <v>23056</v>
      </c>
      <c r="K23" s="39">
        <v>5</v>
      </c>
      <c r="L23" s="33">
        <v>18</v>
      </c>
      <c r="M23" s="33">
        <v>395370</v>
      </c>
      <c r="N23" s="33">
        <v>21965</v>
      </c>
      <c r="O23" s="40">
        <v>90650334.470588237</v>
      </c>
    </row>
    <row r="24" spans="3:17" x14ac:dyDescent="0.25">
      <c r="C24" s="17">
        <v>36130</v>
      </c>
      <c r="D24" s="16">
        <v>10334</v>
      </c>
      <c r="E24" s="16">
        <v>52746</v>
      </c>
      <c r="F24" s="16">
        <v>12846</v>
      </c>
      <c r="G24" s="16">
        <v>18110</v>
      </c>
      <c r="H24" s="18">
        <v>21456</v>
      </c>
    </row>
    <row r="25" spans="3:17" x14ac:dyDescent="0.25">
      <c r="C25" s="17">
        <v>88964</v>
      </c>
      <c r="D25" s="16">
        <v>15973</v>
      </c>
      <c r="E25" s="16">
        <v>14323</v>
      </c>
      <c r="F25" s="16">
        <v>101801</v>
      </c>
      <c r="G25" s="16">
        <v>91451</v>
      </c>
      <c r="H25" s="18">
        <v>14038</v>
      </c>
    </row>
    <row r="26" spans="3:17" ht="15.75" thickBot="1" x14ac:dyDescent="0.3">
      <c r="C26" s="17">
        <v>5495</v>
      </c>
      <c r="D26" s="16">
        <v>29867</v>
      </c>
      <c r="E26" s="16">
        <v>118228</v>
      </c>
      <c r="F26" s="16">
        <v>15836</v>
      </c>
      <c r="G26" s="16">
        <v>14272</v>
      </c>
      <c r="H26" s="18">
        <v>36196</v>
      </c>
      <c r="K26" t="s">
        <v>63</v>
      </c>
    </row>
    <row r="27" spans="3:17" x14ac:dyDescent="0.25">
      <c r="C27" s="17">
        <v>34425</v>
      </c>
      <c r="D27" s="16">
        <v>9869</v>
      </c>
      <c r="E27" s="16">
        <v>9693</v>
      </c>
      <c r="F27" s="16">
        <v>49373</v>
      </c>
      <c r="G27" s="16">
        <v>28248</v>
      </c>
      <c r="H27" s="18"/>
      <c r="K27" s="35" t="s">
        <v>64</v>
      </c>
      <c r="L27" s="34" t="s">
        <v>65</v>
      </c>
      <c r="M27" s="34" t="s">
        <v>42</v>
      </c>
      <c r="N27" s="34" t="s">
        <v>66</v>
      </c>
      <c r="O27" s="34" t="s">
        <v>67</v>
      </c>
      <c r="P27" s="34" t="s">
        <v>68</v>
      </c>
      <c r="Q27" s="36" t="s">
        <v>69</v>
      </c>
    </row>
    <row r="28" spans="3:17" x14ac:dyDescent="0.25">
      <c r="C28" s="17">
        <v>4064</v>
      </c>
      <c r="D28" s="16">
        <v>11103</v>
      </c>
      <c r="E28" s="16">
        <v>29703</v>
      </c>
      <c r="F28" s="16">
        <v>15322</v>
      </c>
      <c r="G28" s="16">
        <v>11403</v>
      </c>
      <c r="H28" s="18"/>
      <c r="K28" s="37" t="s">
        <v>70</v>
      </c>
      <c r="L28">
        <v>14980772287.080566</v>
      </c>
      <c r="M28">
        <v>5</v>
      </c>
      <c r="N28">
        <v>2996154457.4161134</v>
      </c>
      <c r="O28">
        <v>3.2969294445192308</v>
      </c>
      <c r="P28">
        <v>5.7855701903214377E-3</v>
      </c>
      <c r="Q28" s="38">
        <v>2.2208174848450395</v>
      </c>
    </row>
    <row r="29" spans="3:17" x14ac:dyDescent="0.25">
      <c r="C29" s="17">
        <v>5756</v>
      </c>
      <c r="D29" s="16">
        <v>92913</v>
      </c>
      <c r="E29" s="16">
        <v>16716</v>
      </c>
      <c r="F29" s="16">
        <v>12070</v>
      </c>
      <c r="G29" s="16">
        <v>27538</v>
      </c>
      <c r="H29" s="18"/>
      <c r="K29" s="37" t="s">
        <v>71</v>
      </c>
      <c r="L29">
        <v>1210483210040.3733</v>
      </c>
      <c r="M29">
        <v>1332</v>
      </c>
      <c r="N29">
        <v>908771178.7089889</v>
      </c>
      <c r="Q29" s="38"/>
    </row>
    <row r="30" spans="3:17" x14ac:dyDescent="0.25">
      <c r="C30" s="17">
        <v>120433</v>
      </c>
      <c r="D30" s="16">
        <v>27355</v>
      </c>
      <c r="E30" s="16">
        <v>19351</v>
      </c>
      <c r="F30" s="16">
        <v>21346</v>
      </c>
      <c r="G30" s="16">
        <v>15148</v>
      </c>
      <c r="H30" s="18"/>
      <c r="K30" s="37"/>
      <c r="Q30" s="38"/>
    </row>
    <row r="31" spans="3:17" ht="15.75" thickBot="1" x14ac:dyDescent="0.3">
      <c r="C31" s="17">
        <v>7615</v>
      </c>
      <c r="D31" s="16">
        <v>9417</v>
      </c>
      <c r="E31" s="16">
        <v>81835</v>
      </c>
      <c r="F31" s="16">
        <v>10014</v>
      </c>
      <c r="G31" s="16">
        <v>39572</v>
      </c>
      <c r="H31" s="18"/>
      <c r="K31" s="39" t="s">
        <v>72</v>
      </c>
      <c r="L31" s="33">
        <v>1225463982327.4539</v>
      </c>
      <c r="M31" s="33">
        <v>1337</v>
      </c>
      <c r="N31" s="33"/>
      <c r="O31" s="33"/>
      <c r="P31" s="33"/>
      <c r="Q31" s="40"/>
    </row>
    <row r="32" spans="3:17" x14ac:dyDescent="0.25">
      <c r="C32" s="17">
        <v>51576</v>
      </c>
      <c r="D32" s="16">
        <v>12510</v>
      </c>
      <c r="E32" s="16">
        <v>15206</v>
      </c>
      <c r="F32" s="16">
        <v>109383</v>
      </c>
      <c r="G32" s="16">
        <v>53681</v>
      </c>
      <c r="H32" s="18"/>
    </row>
    <row r="33" spans="3:22" x14ac:dyDescent="0.25">
      <c r="C33" s="17">
        <v>8892</v>
      </c>
      <c r="D33" s="16">
        <v>43901</v>
      </c>
      <c r="E33" s="16">
        <v>27909</v>
      </c>
      <c r="F33" s="16">
        <v>13314</v>
      </c>
      <c r="G33" s="16">
        <v>48742</v>
      </c>
      <c r="H33" s="18"/>
    </row>
    <row r="34" spans="3:22" x14ac:dyDescent="0.25">
      <c r="C34" s="17">
        <v>31575</v>
      </c>
      <c r="D34" s="16">
        <v>5829</v>
      </c>
      <c r="E34" s="16">
        <v>68440</v>
      </c>
      <c r="F34" s="16">
        <v>13134</v>
      </c>
      <c r="G34" s="16"/>
      <c r="H34" s="18"/>
      <c r="K34" t="s">
        <v>109</v>
      </c>
    </row>
    <row r="35" spans="3:22" x14ac:dyDescent="0.25">
      <c r="C35" s="17">
        <v>5528</v>
      </c>
      <c r="D35" s="16">
        <v>27063</v>
      </c>
      <c r="E35" s="16">
        <v>47431</v>
      </c>
      <c r="F35" s="16">
        <v>29968</v>
      </c>
      <c r="G35" s="16"/>
      <c r="H35" s="18"/>
      <c r="K35" t="s">
        <v>110</v>
      </c>
    </row>
    <row r="36" spans="3:22" x14ac:dyDescent="0.25">
      <c r="C36" s="17">
        <v>94356</v>
      </c>
      <c r="D36" s="16">
        <v>47769</v>
      </c>
      <c r="E36" s="16">
        <v>45395</v>
      </c>
      <c r="F36" s="16">
        <v>35003</v>
      </c>
      <c r="G36" s="16"/>
      <c r="H36" s="18"/>
    </row>
    <row r="37" spans="3:22" ht="15.75" thickBot="1" x14ac:dyDescent="0.3">
      <c r="C37" s="17">
        <v>36779</v>
      </c>
      <c r="D37" s="16">
        <v>98891</v>
      </c>
      <c r="E37" s="16">
        <v>12880</v>
      </c>
      <c r="F37" s="16">
        <v>17992</v>
      </c>
      <c r="G37" s="16"/>
      <c r="H37" s="18"/>
    </row>
    <row r="38" spans="3:22" ht="15.75" customHeight="1" x14ac:dyDescent="0.25">
      <c r="C38" s="17">
        <v>4358</v>
      </c>
      <c r="D38" s="16">
        <v>8726</v>
      </c>
      <c r="E38" s="16">
        <v>16140</v>
      </c>
      <c r="F38" s="16">
        <v>10652</v>
      </c>
      <c r="G38" s="16"/>
      <c r="H38" s="18"/>
      <c r="J38" s="79" t="s">
        <v>73</v>
      </c>
      <c r="K38" s="80"/>
      <c r="L38" s="80"/>
      <c r="M38" s="80"/>
      <c r="N38" s="80"/>
      <c r="O38" s="80"/>
      <c r="P38" s="80"/>
      <c r="Q38" s="80"/>
      <c r="R38" s="80"/>
      <c r="S38" s="80"/>
      <c r="T38" s="80"/>
      <c r="U38" s="80"/>
      <c r="V38" s="81"/>
    </row>
    <row r="39" spans="3:22" x14ac:dyDescent="0.25">
      <c r="C39" s="17">
        <v>14800</v>
      </c>
      <c r="D39" s="16">
        <v>24694</v>
      </c>
      <c r="E39" s="16">
        <v>22058</v>
      </c>
      <c r="F39" s="16">
        <v>32618</v>
      </c>
      <c r="G39" s="16"/>
      <c r="H39" s="18"/>
      <c r="J39" s="82"/>
      <c r="K39" s="83"/>
      <c r="L39" s="83"/>
      <c r="M39" s="83"/>
      <c r="N39" s="83"/>
      <c r="O39" s="83"/>
      <c r="P39" s="83"/>
      <c r="Q39" s="83"/>
      <c r="R39" s="83"/>
      <c r="S39" s="83"/>
      <c r="T39" s="83"/>
      <c r="U39" s="83"/>
      <c r="V39" s="84"/>
    </row>
    <row r="40" spans="3:22" ht="15" customHeight="1" thickBot="1" x14ac:dyDescent="0.3">
      <c r="C40" s="17">
        <v>41444</v>
      </c>
      <c r="D40" s="16">
        <v>27399</v>
      </c>
      <c r="E40" s="16">
        <v>19329</v>
      </c>
      <c r="F40" s="16">
        <v>62175</v>
      </c>
      <c r="G40" s="16"/>
      <c r="H40" s="18"/>
      <c r="J40" s="85"/>
      <c r="K40" s="86"/>
      <c r="L40" s="86"/>
      <c r="M40" s="86"/>
      <c r="N40" s="86"/>
      <c r="O40" s="86"/>
      <c r="P40" s="86"/>
      <c r="Q40" s="86"/>
      <c r="R40" s="86"/>
      <c r="S40" s="86"/>
      <c r="T40" s="86"/>
      <c r="U40" s="86"/>
      <c r="V40" s="87"/>
    </row>
    <row r="41" spans="3:22" x14ac:dyDescent="0.25">
      <c r="C41" s="17">
        <v>28392</v>
      </c>
      <c r="D41" s="16">
        <v>4606</v>
      </c>
      <c r="E41" s="16">
        <v>9955</v>
      </c>
      <c r="F41" s="16">
        <v>51157</v>
      </c>
      <c r="G41" s="16"/>
      <c r="H41" s="18"/>
    </row>
    <row r="42" spans="3:22" x14ac:dyDescent="0.25">
      <c r="C42" s="17">
        <v>3831</v>
      </c>
      <c r="D42" s="16">
        <v>12813</v>
      </c>
      <c r="E42" s="16">
        <v>12307</v>
      </c>
      <c r="F42" s="16">
        <v>115378</v>
      </c>
      <c r="G42" s="16"/>
      <c r="H42" s="18"/>
    </row>
    <row r="43" spans="3:22" x14ac:dyDescent="0.25">
      <c r="C43" s="17">
        <v>6888</v>
      </c>
      <c r="D43" s="16">
        <v>17693</v>
      </c>
      <c r="E43" s="16">
        <v>21292</v>
      </c>
      <c r="F43" s="16">
        <v>36477</v>
      </c>
      <c r="G43" s="16"/>
      <c r="H43" s="18"/>
    </row>
    <row r="44" spans="3:22" x14ac:dyDescent="0.25">
      <c r="C44" s="17">
        <v>16428</v>
      </c>
      <c r="D44" s="16">
        <v>26126</v>
      </c>
      <c r="E44" s="16">
        <v>52460</v>
      </c>
      <c r="F44" s="16">
        <v>121373</v>
      </c>
      <c r="G44" s="16"/>
      <c r="H44" s="18"/>
    </row>
    <row r="45" spans="3:22" x14ac:dyDescent="0.25">
      <c r="C45" s="17">
        <v>19838</v>
      </c>
      <c r="D45" s="16">
        <v>6798</v>
      </c>
      <c r="E45" s="16">
        <v>8844</v>
      </c>
      <c r="F45" s="16">
        <v>64982</v>
      </c>
      <c r="G45" s="16"/>
      <c r="H45" s="18"/>
    </row>
    <row r="46" spans="3:22" x14ac:dyDescent="0.25">
      <c r="C46" s="17">
        <v>108947</v>
      </c>
      <c r="D46" s="16">
        <v>13115</v>
      </c>
      <c r="E46" s="16">
        <v>21300</v>
      </c>
      <c r="F46" s="16">
        <v>9765</v>
      </c>
      <c r="G46" s="16"/>
      <c r="H46" s="18"/>
    </row>
    <row r="47" spans="3:22" x14ac:dyDescent="0.25">
      <c r="C47" s="17">
        <v>27683</v>
      </c>
      <c r="D47" s="16">
        <v>26090</v>
      </c>
      <c r="E47" s="16">
        <v>18429</v>
      </c>
      <c r="F47" s="16">
        <v>96866</v>
      </c>
      <c r="G47" s="16"/>
      <c r="H47" s="18"/>
    </row>
    <row r="48" spans="3:22" x14ac:dyDescent="0.25">
      <c r="C48" s="17">
        <v>20067</v>
      </c>
      <c r="D48" s="16">
        <v>16940</v>
      </c>
      <c r="E48" s="16">
        <v>23063</v>
      </c>
      <c r="F48" s="16">
        <v>16867</v>
      </c>
      <c r="G48" s="16"/>
      <c r="H48" s="18"/>
    </row>
    <row r="49" spans="3:8" x14ac:dyDescent="0.25">
      <c r="C49" s="17">
        <v>27706</v>
      </c>
      <c r="D49" s="16">
        <v>30111</v>
      </c>
      <c r="E49" s="16">
        <v>16775</v>
      </c>
      <c r="F49" s="16">
        <v>62183</v>
      </c>
      <c r="G49" s="16"/>
      <c r="H49" s="18"/>
    </row>
    <row r="50" spans="3:8" x14ac:dyDescent="0.25">
      <c r="C50" s="17">
        <v>5067</v>
      </c>
      <c r="D50" s="16">
        <v>22178</v>
      </c>
      <c r="E50" s="16">
        <v>48611</v>
      </c>
      <c r="F50" s="16">
        <v>105311</v>
      </c>
      <c r="G50" s="16"/>
      <c r="H50" s="18"/>
    </row>
    <row r="51" spans="3:8" x14ac:dyDescent="0.25">
      <c r="C51" s="17">
        <v>25566</v>
      </c>
      <c r="D51" s="16">
        <v>10844</v>
      </c>
      <c r="E51" s="16">
        <v>11158</v>
      </c>
      <c r="F51" s="16">
        <v>15461</v>
      </c>
      <c r="G51" s="16"/>
      <c r="H51" s="18"/>
    </row>
    <row r="52" spans="3:8" x14ac:dyDescent="0.25">
      <c r="C52" s="17">
        <v>56032</v>
      </c>
      <c r="D52" s="16">
        <v>16525</v>
      </c>
      <c r="E52" s="16">
        <v>96279</v>
      </c>
      <c r="F52" s="16">
        <v>22360</v>
      </c>
      <c r="G52" s="16"/>
      <c r="H52" s="18"/>
    </row>
    <row r="53" spans="3:8" x14ac:dyDescent="0.25">
      <c r="C53" s="17">
        <v>39552</v>
      </c>
      <c r="D53" s="16">
        <v>4950</v>
      </c>
      <c r="E53" s="16">
        <v>32074</v>
      </c>
      <c r="F53" s="16">
        <v>24051</v>
      </c>
      <c r="G53" s="16"/>
      <c r="H53" s="18"/>
    </row>
    <row r="54" spans="3:8" x14ac:dyDescent="0.25">
      <c r="C54" s="17">
        <v>15465</v>
      </c>
      <c r="D54" s="16">
        <v>12507</v>
      </c>
      <c r="E54" s="16">
        <v>118263</v>
      </c>
      <c r="F54" s="16">
        <v>33576</v>
      </c>
      <c r="G54" s="16"/>
      <c r="H54" s="18"/>
    </row>
    <row r="55" spans="3:8" x14ac:dyDescent="0.25">
      <c r="C55" s="17">
        <v>9113</v>
      </c>
      <c r="D55" s="16">
        <v>8482</v>
      </c>
      <c r="E55" s="16">
        <v>110652</v>
      </c>
      <c r="F55" s="16">
        <v>8705</v>
      </c>
      <c r="G55" s="16"/>
      <c r="H55" s="18"/>
    </row>
    <row r="56" spans="3:8" x14ac:dyDescent="0.25">
      <c r="C56" s="17">
        <v>53362</v>
      </c>
      <c r="D56" s="16">
        <v>12531</v>
      </c>
      <c r="E56" s="16">
        <v>107142</v>
      </c>
      <c r="F56" s="16">
        <v>54150</v>
      </c>
      <c r="G56" s="16"/>
      <c r="H56" s="18"/>
    </row>
    <row r="57" spans="3:8" x14ac:dyDescent="0.25">
      <c r="C57" s="17">
        <v>7168</v>
      </c>
      <c r="D57" s="16">
        <v>18395</v>
      </c>
      <c r="E57" s="16">
        <v>18164</v>
      </c>
      <c r="F57" s="16">
        <v>41139</v>
      </c>
      <c r="G57" s="16"/>
      <c r="H57" s="18"/>
    </row>
    <row r="58" spans="3:8" x14ac:dyDescent="0.25">
      <c r="C58" s="17">
        <v>117639</v>
      </c>
      <c r="D58" s="16">
        <v>18609</v>
      </c>
      <c r="E58" s="16">
        <v>24290</v>
      </c>
      <c r="F58" s="16">
        <v>11545</v>
      </c>
      <c r="G58" s="16"/>
      <c r="H58" s="18"/>
    </row>
    <row r="59" spans="3:8" x14ac:dyDescent="0.25">
      <c r="C59" s="17">
        <v>11617</v>
      </c>
      <c r="D59" s="16">
        <v>30835</v>
      </c>
      <c r="E59" s="16">
        <v>7009</v>
      </c>
      <c r="F59" s="16">
        <v>21305</v>
      </c>
      <c r="G59" s="16"/>
      <c r="H59" s="18"/>
    </row>
    <row r="60" spans="3:8" x14ac:dyDescent="0.25">
      <c r="C60" s="17">
        <v>6012</v>
      </c>
      <c r="D60" s="16">
        <v>17882</v>
      </c>
      <c r="E60" s="16">
        <v>32322</v>
      </c>
      <c r="F60" s="16">
        <v>25674</v>
      </c>
      <c r="G60" s="16"/>
      <c r="H60" s="18"/>
    </row>
    <row r="61" spans="3:8" x14ac:dyDescent="0.25">
      <c r="C61" s="17">
        <v>75650</v>
      </c>
      <c r="D61" s="16">
        <v>13385</v>
      </c>
      <c r="E61" s="16">
        <v>23582</v>
      </c>
      <c r="F61" s="16">
        <v>16631</v>
      </c>
      <c r="G61" s="16"/>
      <c r="H61" s="18"/>
    </row>
    <row r="62" spans="3:8" x14ac:dyDescent="0.25">
      <c r="C62" s="17">
        <v>28453</v>
      </c>
      <c r="D62" s="16">
        <v>87900</v>
      </c>
      <c r="E62" s="16">
        <v>105281</v>
      </c>
      <c r="F62" s="16">
        <v>47012</v>
      </c>
      <c r="G62" s="16"/>
      <c r="H62" s="18"/>
    </row>
    <row r="63" spans="3:8" x14ac:dyDescent="0.25">
      <c r="C63" s="17">
        <v>21503</v>
      </c>
      <c r="D63" s="16">
        <v>4580</v>
      </c>
      <c r="E63" s="16">
        <v>30664</v>
      </c>
      <c r="F63" s="16">
        <v>34800</v>
      </c>
      <c r="G63" s="16"/>
      <c r="H63" s="18"/>
    </row>
    <row r="64" spans="3:8" x14ac:dyDescent="0.25">
      <c r="C64" s="17">
        <v>4264</v>
      </c>
      <c r="D64" s="16">
        <v>10101</v>
      </c>
      <c r="E64" s="16">
        <v>10874</v>
      </c>
      <c r="F64" s="16">
        <v>14817</v>
      </c>
      <c r="G64" s="16"/>
      <c r="H64" s="18"/>
    </row>
    <row r="65" spans="3:8" x14ac:dyDescent="0.25">
      <c r="C65" s="17">
        <v>5644</v>
      </c>
      <c r="D65" s="16">
        <v>42713</v>
      </c>
      <c r="E65" s="16">
        <v>31616</v>
      </c>
      <c r="F65" s="16">
        <v>19207</v>
      </c>
      <c r="G65" s="16"/>
      <c r="H65" s="18"/>
    </row>
    <row r="66" spans="3:8" x14ac:dyDescent="0.25">
      <c r="C66" s="17">
        <v>8463</v>
      </c>
      <c r="D66" s="16">
        <v>42949</v>
      </c>
      <c r="E66" s="16">
        <v>48606</v>
      </c>
      <c r="F66" s="16">
        <v>25954</v>
      </c>
      <c r="G66" s="16"/>
      <c r="H66" s="18"/>
    </row>
    <row r="67" spans="3:8" x14ac:dyDescent="0.25">
      <c r="C67" s="17">
        <v>42703</v>
      </c>
      <c r="D67" s="16">
        <v>18603</v>
      </c>
      <c r="E67" s="16">
        <v>50444</v>
      </c>
      <c r="F67" s="16">
        <v>63456</v>
      </c>
      <c r="G67" s="16"/>
      <c r="H67" s="18"/>
    </row>
    <row r="68" spans="3:8" x14ac:dyDescent="0.25">
      <c r="C68" s="17">
        <v>24086</v>
      </c>
      <c r="D68" s="16">
        <v>23206</v>
      </c>
      <c r="E68" s="16">
        <v>19373</v>
      </c>
      <c r="F68" s="16">
        <v>38888</v>
      </c>
      <c r="G68" s="16"/>
      <c r="H68" s="18"/>
    </row>
    <row r="69" spans="3:8" x14ac:dyDescent="0.25">
      <c r="C69" s="17">
        <v>32039</v>
      </c>
      <c r="D69" s="16">
        <v>4299</v>
      </c>
      <c r="E69" s="16">
        <v>106901</v>
      </c>
      <c r="F69" s="16">
        <v>23908</v>
      </c>
      <c r="G69" s="16"/>
      <c r="H69" s="18"/>
    </row>
    <row r="70" spans="3:8" x14ac:dyDescent="0.25">
      <c r="C70" s="17">
        <v>34041</v>
      </c>
      <c r="D70" s="16">
        <v>24044</v>
      </c>
      <c r="E70" s="16">
        <v>47861</v>
      </c>
      <c r="F70" s="16">
        <v>31188</v>
      </c>
      <c r="G70" s="16"/>
      <c r="H70" s="18"/>
    </row>
    <row r="71" spans="3:8" x14ac:dyDescent="0.25">
      <c r="C71" s="17">
        <v>4081</v>
      </c>
      <c r="D71" s="16">
        <v>24638</v>
      </c>
      <c r="E71" s="16">
        <v>12225</v>
      </c>
      <c r="F71" s="16">
        <v>16992</v>
      </c>
      <c r="G71" s="16"/>
      <c r="H71" s="18"/>
    </row>
    <row r="72" spans="3:8" x14ac:dyDescent="0.25">
      <c r="C72" s="17">
        <v>6143</v>
      </c>
      <c r="D72" s="16">
        <v>55829</v>
      </c>
      <c r="E72" s="16">
        <v>25108</v>
      </c>
      <c r="F72" s="16">
        <v>14931</v>
      </c>
      <c r="G72" s="16"/>
      <c r="H72" s="18"/>
    </row>
    <row r="73" spans="3:8" x14ac:dyDescent="0.25">
      <c r="C73" s="17">
        <v>5389</v>
      </c>
      <c r="D73" s="16">
        <v>10593</v>
      </c>
      <c r="E73" s="16">
        <v>7951</v>
      </c>
      <c r="F73" s="16">
        <v>15491</v>
      </c>
      <c r="G73" s="16"/>
      <c r="H73" s="18"/>
    </row>
    <row r="74" spans="3:8" x14ac:dyDescent="0.25">
      <c r="C74" s="17">
        <v>3154</v>
      </c>
      <c r="D74" s="16">
        <v>29698</v>
      </c>
      <c r="E74" s="16">
        <v>20043</v>
      </c>
      <c r="F74" s="16">
        <v>99959</v>
      </c>
      <c r="G74" s="16"/>
      <c r="H74" s="18"/>
    </row>
    <row r="75" spans="3:8" x14ac:dyDescent="0.25">
      <c r="C75" s="17">
        <v>5114</v>
      </c>
      <c r="D75" s="16">
        <v>19355</v>
      </c>
      <c r="E75" s="16">
        <v>20291</v>
      </c>
      <c r="F75" s="16">
        <v>9653</v>
      </c>
      <c r="G75" s="16"/>
      <c r="H75" s="18"/>
    </row>
    <row r="76" spans="3:8" x14ac:dyDescent="0.25">
      <c r="C76" s="17">
        <v>5417</v>
      </c>
      <c r="D76" s="16">
        <v>119742</v>
      </c>
      <c r="E76" s="16">
        <v>90213</v>
      </c>
      <c r="F76" s="16">
        <v>40213</v>
      </c>
      <c r="G76" s="16"/>
      <c r="H76" s="18"/>
    </row>
    <row r="77" spans="3:8" x14ac:dyDescent="0.25">
      <c r="C77" s="17">
        <v>19474</v>
      </c>
      <c r="D77" s="16">
        <v>50695</v>
      </c>
      <c r="E77" s="16">
        <v>37516</v>
      </c>
      <c r="F77" s="16">
        <v>16883</v>
      </c>
      <c r="G77" s="16"/>
      <c r="H77" s="18"/>
    </row>
    <row r="78" spans="3:8" x14ac:dyDescent="0.25">
      <c r="C78" s="17">
        <v>49912</v>
      </c>
      <c r="D78" s="16">
        <v>54947</v>
      </c>
      <c r="E78" s="16">
        <v>14617</v>
      </c>
      <c r="F78" s="16">
        <v>16871</v>
      </c>
      <c r="G78" s="16"/>
      <c r="H78" s="18"/>
    </row>
    <row r="79" spans="3:8" x14ac:dyDescent="0.25">
      <c r="C79" s="17">
        <v>17372</v>
      </c>
      <c r="D79" s="16">
        <v>23124</v>
      </c>
      <c r="E79" s="16">
        <v>20756</v>
      </c>
      <c r="F79" s="16">
        <v>81969</v>
      </c>
      <c r="G79" s="16"/>
      <c r="H79" s="18"/>
    </row>
    <row r="80" spans="3:8" x14ac:dyDescent="0.25">
      <c r="C80" s="17">
        <v>53059</v>
      </c>
      <c r="D80" s="16">
        <v>10378</v>
      </c>
      <c r="E80" s="16">
        <v>75712</v>
      </c>
      <c r="F80" s="16">
        <v>11167</v>
      </c>
      <c r="G80" s="16"/>
      <c r="H80" s="18"/>
    </row>
    <row r="81" spans="3:8" x14ac:dyDescent="0.25">
      <c r="C81" s="17">
        <v>38795</v>
      </c>
      <c r="D81" s="16">
        <v>11669</v>
      </c>
      <c r="E81" s="16">
        <v>23528</v>
      </c>
      <c r="F81" s="16">
        <v>25353</v>
      </c>
      <c r="G81" s="16"/>
      <c r="H81" s="18"/>
    </row>
    <row r="82" spans="3:8" x14ac:dyDescent="0.25">
      <c r="C82" s="17">
        <v>92376</v>
      </c>
      <c r="D82" s="16">
        <v>12237</v>
      </c>
      <c r="E82" s="16">
        <v>37471</v>
      </c>
      <c r="F82" s="16">
        <v>20631</v>
      </c>
      <c r="G82" s="16"/>
      <c r="H82" s="18"/>
    </row>
    <row r="83" spans="3:8" x14ac:dyDescent="0.25">
      <c r="C83" s="17">
        <v>53372</v>
      </c>
      <c r="D83" s="16">
        <v>16501</v>
      </c>
      <c r="E83" s="16">
        <v>28492</v>
      </c>
      <c r="F83" s="16">
        <v>16089</v>
      </c>
      <c r="G83" s="16"/>
      <c r="H83" s="18"/>
    </row>
    <row r="84" spans="3:8" x14ac:dyDescent="0.25">
      <c r="C84" s="17">
        <v>90374</v>
      </c>
      <c r="D84" s="16">
        <v>8905</v>
      </c>
      <c r="E84" s="16">
        <v>36139</v>
      </c>
      <c r="F84" s="16">
        <v>12094</v>
      </c>
      <c r="G84" s="16"/>
      <c r="H84" s="18"/>
    </row>
    <row r="85" spans="3:8" x14ac:dyDescent="0.25">
      <c r="C85" s="17">
        <v>12570</v>
      </c>
      <c r="D85" s="16">
        <v>119820</v>
      </c>
      <c r="E85" s="16">
        <v>46521</v>
      </c>
      <c r="F85" s="16">
        <v>31215</v>
      </c>
      <c r="G85" s="16"/>
      <c r="H85" s="18"/>
    </row>
    <row r="86" spans="3:8" x14ac:dyDescent="0.25">
      <c r="C86" s="17">
        <v>33513</v>
      </c>
      <c r="D86" s="16">
        <v>121294</v>
      </c>
      <c r="E86" s="16">
        <v>22421</v>
      </c>
      <c r="F86" s="16">
        <v>115326</v>
      </c>
      <c r="G86" s="16"/>
      <c r="H86" s="18"/>
    </row>
    <row r="87" spans="3:8" x14ac:dyDescent="0.25">
      <c r="C87" s="17">
        <v>20292</v>
      </c>
      <c r="D87" s="16">
        <v>34844</v>
      </c>
      <c r="E87" s="16">
        <v>12266</v>
      </c>
      <c r="F87" s="16">
        <v>30909</v>
      </c>
      <c r="G87" s="16"/>
      <c r="H87" s="18"/>
    </row>
    <row r="88" spans="3:8" x14ac:dyDescent="0.25">
      <c r="C88" s="17">
        <v>4237</v>
      </c>
      <c r="D88" s="16">
        <v>104798</v>
      </c>
      <c r="E88" s="16">
        <v>11716</v>
      </c>
      <c r="F88" s="16">
        <v>25661</v>
      </c>
      <c r="G88" s="16"/>
      <c r="H88" s="18"/>
    </row>
    <row r="89" spans="3:8" x14ac:dyDescent="0.25">
      <c r="C89" s="17">
        <v>7139</v>
      </c>
      <c r="D89" s="16">
        <v>20582</v>
      </c>
      <c r="E89" s="16">
        <v>29705</v>
      </c>
      <c r="F89" s="16">
        <v>15283</v>
      </c>
      <c r="G89" s="16"/>
      <c r="H89" s="18"/>
    </row>
    <row r="90" spans="3:8" x14ac:dyDescent="0.25">
      <c r="C90" s="17">
        <v>122061</v>
      </c>
      <c r="D90" s="16">
        <v>20836</v>
      </c>
      <c r="E90" s="16">
        <v>38076</v>
      </c>
      <c r="F90" s="16">
        <v>28161</v>
      </c>
      <c r="G90" s="16"/>
      <c r="H90" s="18"/>
    </row>
    <row r="91" spans="3:8" x14ac:dyDescent="0.25">
      <c r="C91" s="17">
        <v>29340</v>
      </c>
      <c r="D91" s="16">
        <v>13695</v>
      </c>
      <c r="E91" s="16">
        <v>31608</v>
      </c>
      <c r="F91" s="16">
        <v>102331</v>
      </c>
      <c r="G91" s="16"/>
      <c r="H91" s="18"/>
    </row>
    <row r="92" spans="3:8" x14ac:dyDescent="0.25">
      <c r="C92" s="17">
        <v>4080</v>
      </c>
      <c r="D92" s="16">
        <v>11878</v>
      </c>
      <c r="E92" s="16">
        <v>23262</v>
      </c>
      <c r="F92" s="16">
        <v>48405</v>
      </c>
      <c r="G92" s="16"/>
      <c r="H92" s="18"/>
    </row>
    <row r="93" spans="3:8" x14ac:dyDescent="0.25">
      <c r="C93" s="17">
        <v>18549</v>
      </c>
      <c r="D93" s="16">
        <v>6494</v>
      </c>
      <c r="E93" s="16">
        <v>12329</v>
      </c>
      <c r="F93" s="16">
        <v>10587</v>
      </c>
      <c r="G93" s="16"/>
      <c r="H93" s="18"/>
    </row>
    <row r="94" spans="3:8" x14ac:dyDescent="0.25">
      <c r="C94" s="17">
        <v>31394</v>
      </c>
      <c r="D94" s="16">
        <v>24446</v>
      </c>
      <c r="E94" s="16">
        <v>20070</v>
      </c>
      <c r="F94" s="16">
        <v>35018</v>
      </c>
      <c r="G94" s="16"/>
      <c r="H94" s="18"/>
    </row>
    <row r="95" spans="3:8" x14ac:dyDescent="0.25">
      <c r="C95" s="17">
        <v>12210</v>
      </c>
      <c r="D95" s="16">
        <v>19099</v>
      </c>
      <c r="E95" s="16">
        <v>20528</v>
      </c>
      <c r="F95" s="16">
        <v>90473</v>
      </c>
      <c r="G95" s="16"/>
      <c r="H95" s="18"/>
    </row>
    <row r="96" spans="3:8" x14ac:dyDescent="0.25">
      <c r="C96" s="17">
        <v>5344</v>
      </c>
      <c r="D96" s="16">
        <v>67502</v>
      </c>
      <c r="E96" s="16">
        <v>7693</v>
      </c>
      <c r="F96" s="16">
        <v>19965</v>
      </c>
      <c r="G96" s="16"/>
      <c r="H96" s="18"/>
    </row>
    <row r="97" spans="3:8" x14ac:dyDescent="0.25">
      <c r="C97" s="17">
        <v>2844</v>
      </c>
      <c r="D97" s="16">
        <v>22410</v>
      </c>
      <c r="E97" s="16">
        <v>21034</v>
      </c>
      <c r="F97" s="16">
        <v>13572</v>
      </c>
      <c r="G97" s="16"/>
      <c r="H97" s="18"/>
    </row>
    <row r="98" spans="3:8" x14ac:dyDescent="0.25">
      <c r="C98" s="17">
        <v>4099</v>
      </c>
      <c r="D98" s="16">
        <v>23225</v>
      </c>
      <c r="E98" s="16">
        <v>60149</v>
      </c>
      <c r="F98" s="16">
        <v>69853</v>
      </c>
      <c r="G98" s="16"/>
      <c r="H98" s="18"/>
    </row>
    <row r="99" spans="3:8" x14ac:dyDescent="0.25">
      <c r="C99" s="17">
        <v>14124</v>
      </c>
      <c r="D99" s="16">
        <v>20210</v>
      </c>
      <c r="E99" s="16">
        <v>32315</v>
      </c>
      <c r="F99" s="16">
        <v>26401</v>
      </c>
      <c r="G99" s="16"/>
      <c r="H99" s="18"/>
    </row>
    <row r="100" spans="3:8" x14ac:dyDescent="0.25">
      <c r="C100" s="17">
        <v>24111</v>
      </c>
      <c r="D100" s="16">
        <v>21349</v>
      </c>
      <c r="E100" s="16">
        <v>22063</v>
      </c>
      <c r="F100" s="16">
        <v>14836</v>
      </c>
      <c r="G100" s="16"/>
      <c r="H100" s="18"/>
    </row>
    <row r="101" spans="3:8" x14ac:dyDescent="0.25">
      <c r="C101" s="17">
        <v>37254</v>
      </c>
      <c r="D101" s="16">
        <v>10186</v>
      </c>
      <c r="E101" s="16">
        <v>7641</v>
      </c>
      <c r="F101" s="16">
        <v>45648</v>
      </c>
      <c r="G101" s="16"/>
      <c r="H101" s="18"/>
    </row>
    <row r="102" spans="3:8" x14ac:dyDescent="0.25">
      <c r="C102" s="17">
        <v>5327</v>
      </c>
      <c r="D102" s="16">
        <v>48987</v>
      </c>
      <c r="E102" s="16">
        <v>59518</v>
      </c>
      <c r="F102" s="16">
        <v>16035</v>
      </c>
      <c r="G102" s="16"/>
      <c r="H102" s="18"/>
    </row>
    <row r="103" spans="3:8" x14ac:dyDescent="0.25">
      <c r="C103" s="17">
        <v>32531</v>
      </c>
      <c r="D103" s="16">
        <v>18364</v>
      </c>
      <c r="E103" s="16">
        <v>28846</v>
      </c>
      <c r="F103" s="16">
        <v>13024</v>
      </c>
      <c r="G103" s="16"/>
      <c r="H103" s="18"/>
    </row>
    <row r="104" spans="3:8" x14ac:dyDescent="0.25">
      <c r="C104" s="17">
        <v>92835</v>
      </c>
      <c r="D104" s="16">
        <v>36046</v>
      </c>
      <c r="E104" s="16">
        <v>27969</v>
      </c>
      <c r="F104" s="16">
        <v>23537</v>
      </c>
      <c r="G104" s="16"/>
      <c r="H104" s="18"/>
    </row>
    <row r="105" spans="3:8" x14ac:dyDescent="0.25">
      <c r="C105" s="17">
        <v>17868</v>
      </c>
      <c r="D105" s="16">
        <v>97813</v>
      </c>
      <c r="E105" s="16">
        <v>9619</v>
      </c>
      <c r="F105" s="16">
        <v>15902</v>
      </c>
      <c r="G105" s="16"/>
      <c r="H105" s="18"/>
    </row>
    <row r="106" spans="3:8" x14ac:dyDescent="0.25">
      <c r="C106" s="17">
        <v>29358</v>
      </c>
      <c r="D106" s="16">
        <v>16388</v>
      </c>
      <c r="E106" s="16">
        <v>22985</v>
      </c>
      <c r="F106" s="16">
        <v>8994</v>
      </c>
      <c r="G106" s="16"/>
      <c r="H106" s="18"/>
    </row>
    <row r="107" spans="3:8" x14ac:dyDescent="0.25">
      <c r="C107" s="17">
        <v>34702</v>
      </c>
      <c r="D107" s="16">
        <v>7919</v>
      </c>
      <c r="E107" s="16">
        <v>7003</v>
      </c>
      <c r="F107" s="16">
        <v>98994</v>
      </c>
      <c r="G107" s="16"/>
      <c r="H107" s="18"/>
    </row>
    <row r="108" spans="3:8" x14ac:dyDescent="0.25">
      <c r="C108" s="17">
        <v>25889</v>
      </c>
      <c r="D108" s="16">
        <v>10609</v>
      </c>
      <c r="E108" s="16">
        <v>18142</v>
      </c>
      <c r="F108" s="16">
        <v>60267</v>
      </c>
      <c r="G108" s="16"/>
      <c r="H108" s="18"/>
    </row>
    <row r="109" spans="3:8" x14ac:dyDescent="0.25">
      <c r="C109" s="17">
        <v>6209</v>
      </c>
      <c r="D109" s="16">
        <v>11846</v>
      </c>
      <c r="E109" s="16">
        <v>114255</v>
      </c>
      <c r="F109" s="16">
        <v>17878</v>
      </c>
      <c r="G109" s="16"/>
      <c r="H109" s="18"/>
    </row>
    <row r="110" spans="3:8" x14ac:dyDescent="0.25">
      <c r="C110" s="17">
        <v>62704</v>
      </c>
      <c r="D110" s="16">
        <v>70720</v>
      </c>
      <c r="E110" s="16">
        <v>11884</v>
      </c>
      <c r="F110" s="16">
        <v>10979</v>
      </c>
      <c r="G110" s="16"/>
      <c r="H110" s="18"/>
    </row>
    <row r="111" spans="3:8" x14ac:dyDescent="0.25">
      <c r="C111" s="17">
        <v>26412</v>
      </c>
      <c r="D111" s="16">
        <v>65273</v>
      </c>
      <c r="E111" s="16">
        <v>33060</v>
      </c>
      <c r="F111" s="16">
        <v>22228</v>
      </c>
      <c r="G111" s="16"/>
      <c r="H111" s="18"/>
    </row>
    <row r="112" spans="3:8" x14ac:dyDescent="0.25">
      <c r="C112" s="17">
        <v>86949</v>
      </c>
      <c r="D112" s="16">
        <v>11906</v>
      </c>
      <c r="E112" s="16">
        <v>15891</v>
      </c>
      <c r="F112" s="16">
        <v>8608</v>
      </c>
      <c r="G112" s="16"/>
      <c r="H112" s="18"/>
    </row>
    <row r="113" spans="3:8" x14ac:dyDescent="0.25">
      <c r="C113" s="17">
        <v>48789</v>
      </c>
      <c r="D113" s="16">
        <v>10081</v>
      </c>
      <c r="E113" s="16">
        <v>6416</v>
      </c>
      <c r="F113" s="16">
        <v>115638</v>
      </c>
      <c r="G113" s="16"/>
      <c r="H113" s="18"/>
    </row>
    <row r="114" spans="3:8" x14ac:dyDescent="0.25">
      <c r="C114" s="17">
        <v>6724</v>
      </c>
      <c r="D114" s="16">
        <v>48805</v>
      </c>
      <c r="E114" s="16">
        <v>19101</v>
      </c>
      <c r="F114" s="16">
        <v>11653</v>
      </c>
      <c r="G114" s="16"/>
      <c r="H114" s="18"/>
    </row>
    <row r="115" spans="3:8" x14ac:dyDescent="0.25">
      <c r="C115" s="17">
        <v>60568</v>
      </c>
      <c r="D115" s="16">
        <v>33062</v>
      </c>
      <c r="E115" s="16">
        <v>18604</v>
      </c>
      <c r="F115" s="16">
        <v>12117</v>
      </c>
      <c r="G115" s="16"/>
      <c r="H115" s="18"/>
    </row>
    <row r="116" spans="3:8" x14ac:dyDescent="0.25">
      <c r="C116" s="17">
        <v>4319</v>
      </c>
      <c r="D116" s="16">
        <v>58222</v>
      </c>
      <c r="E116" s="16">
        <v>83680</v>
      </c>
      <c r="F116" s="16">
        <v>37925</v>
      </c>
      <c r="G116" s="16"/>
      <c r="H116" s="18"/>
    </row>
    <row r="117" spans="3:8" x14ac:dyDescent="0.25">
      <c r="C117" s="17">
        <v>4039</v>
      </c>
      <c r="D117" s="16">
        <v>5503</v>
      </c>
      <c r="E117" s="16">
        <v>11088</v>
      </c>
      <c r="F117" s="16">
        <v>35957</v>
      </c>
      <c r="G117" s="16"/>
      <c r="H117" s="18"/>
    </row>
    <row r="118" spans="3:8" x14ac:dyDescent="0.25">
      <c r="C118" s="17">
        <v>43382</v>
      </c>
      <c r="D118" s="16">
        <v>72172</v>
      </c>
      <c r="E118" s="16">
        <v>98104</v>
      </c>
      <c r="F118" s="16">
        <v>49834</v>
      </c>
      <c r="G118" s="16"/>
      <c r="H118" s="18"/>
    </row>
    <row r="119" spans="3:8" x14ac:dyDescent="0.25">
      <c r="C119" s="17">
        <v>73808</v>
      </c>
      <c r="D119" s="16">
        <v>24700</v>
      </c>
      <c r="E119" s="16">
        <v>16429</v>
      </c>
      <c r="F119" s="16">
        <v>23751</v>
      </c>
      <c r="G119" s="16"/>
      <c r="H119" s="18"/>
    </row>
    <row r="120" spans="3:8" x14ac:dyDescent="0.25">
      <c r="C120" s="17">
        <v>61191</v>
      </c>
      <c r="D120" s="16">
        <v>26155</v>
      </c>
      <c r="E120" s="16">
        <v>58266</v>
      </c>
      <c r="F120" s="16">
        <v>26757</v>
      </c>
      <c r="G120" s="16"/>
      <c r="H120" s="18"/>
    </row>
    <row r="121" spans="3:8" x14ac:dyDescent="0.25">
      <c r="C121" s="17">
        <v>31622</v>
      </c>
      <c r="D121" s="16">
        <v>55545</v>
      </c>
      <c r="E121" s="16">
        <v>17933</v>
      </c>
      <c r="F121" s="16">
        <v>24262</v>
      </c>
      <c r="G121" s="16"/>
      <c r="H121" s="18"/>
    </row>
    <row r="122" spans="3:8" x14ac:dyDescent="0.25">
      <c r="C122" s="17">
        <v>4967</v>
      </c>
      <c r="D122" s="16">
        <v>14936</v>
      </c>
      <c r="E122" s="16">
        <v>62288</v>
      </c>
      <c r="F122" s="16">
        <v>48000</v>
      </c>
      <c r="G122" s="16"/>
      <c r="H122" s="18"/>
    </row>
    <row r="123" spans="3:8" x14ac:dyDescent="0.25">
      <c r="C123" s="17">
        <v>102743</v>
      </c>
      <c r="D123" s="16">
        <v>6608</v>
      </c>
      <c r="E123" s="16">
        <v>47015</v>
      </c>
      <c r="F123" s="16">
        <v>21025</v>
      </c>
      <c r="G123" s="16"/>
      <c r="H123" s="18"/>
    </row>
    <row r="124" spans="3:8" x14ac:dyDescent="0.25">
      <c r="C124" s="17">
        <v>109803</v>
      </c>
      <c r="D124" s="16">
        <v>29408</v>
      </c>
      <c r="E124" s="16">
        <v>24502</v>
      </c>
      <c r="F124" s="16">
        <v>41051</v>
      </c>
      <c r="G124" s="16"/>
      <c r="H124" s="18"/>
    </row>
    <row r="125" spans="3:8" x14ac:dyDescent="0.25">
      <c r="C125" s="17">
        <v>13502</v>
      </c>
      <c r="D125" s="16">
        <v>52705</v>
      </c>
      <c r="E125" s="16">
        <v>21319</v>
      </c>
      <c r="F125" s="16">
        <v>19966</v>
      </c>
      <c r="G125" s="16"/>
      <c r="H125" s="18"/>
    </row>
    <row r="126" spans="3:8" x14ac:dyDescent="0.25">
      <c r="C126" s="17">
        <v>84376</v>
      </c>
      <c r="D126" s="16">
        <v>69311</v>
      </c>
      <c r="E126" s="16">
        <v>61669</v>
      </c>
      <c r="F126" s="16">
        <v>18546</v>
      </c>
      <c r="G126" s="16"/>
      <c r="H126" s="18"/>
    </row>
    <row r="127" spans="3:8" x14ac:dyDescent="0.25">
      <c r="C127" s="17">
        <v>29593</v>
      </c>
      <c r="D127" s="16">
        <v>13102</v>
      </c>
      <c r="E127" s="16">
        <v>10147</v>
      </c>
      <c r="F127" s="16">
        <v>16379</v>
      </c>
      <c r="G127" s="16"/>
      <c r="H127" s="18"/>
    </row>
    <row r="128" spans="3:8" x14ac:dyDescent="0.25">
      <c r="C128" s="17">
        <v>90549</v>
      </c>
      <c r="D128" s="16">
        <v>95614</v>
      </c>
      <c r="E128" s="16">
        <v>106401</v>
      </c>
      <c r="F128" s="16">
        <v>62288</v>
      </c>
      <c r="G128" s="16"/>
      <c r="H128" s="18"/>
    </row>
    <row r="129" spans="3:8" x14ac:dyDescent="0.25">
      <c r="C129" s="17">
        <v>6308</v>
      </c>
      <c r="D129" s="16">
        <v>24653</v>
      </c>
      <c r="E129" s="16">
        <v>100008</v>
      </c>
      <c r="F129" s="16">
        <v>31238</v>
      </c>
      <c r="G129" s="16"/>
      <c r="H129" s="18"/>
    </row>
    <row r="130" spans="3:8" x14ac:dyDescent="0.25">
      <c r="C130" s="17">
        <v>5376</v>
      </c>
      <c r="D130" s="16">
        <v>20857</v>
      </c>
      <c r="E130" s="16">
        <v>115502</v>
      </c>
      <c r="F130" s="16">
        <v>88989</v>
      </c>
      <c r="G130" s="16"/>
      <c r="H130" s="18"/>
    </row>
    <row r="131" spans="3:8" x14ac:dyDescent="0.25">
      <c r="C131" s="17">
        <v>24065</v>
      </c>
      <c r="D131" s="16">
        <v>121689</v>
      </c>
      <c r="E131" s="16">
        <v>25392</v>
      </c>
      <c r="F131" s="16">
        <v>30236</v>
      </c>
      <c r="G131" s="16"/>
      <c r="H131" s="18"/>
    </row>
    <row r="132" spans="3:8" x14ac:dyDescent="0.25">
      <c r="C132" s="17">
        <v>35640</v>
      </c>
      <c r="D132" s="16">
        <v>15168</v>
      </c>
      <c r="E132" s="16">
        <v>100260</v>
      </c>
      <c r="F132" s="16">
        <v>63274</v>
      </c>
      <c r="G132" s="16"/>
      <c r="H132" s="18"/>
    </row>
    <row r="133" spans="3:8" x14ac:dyDescent="0.25">
      <c r="C133" s="17">
        <v>7930</v>
      </c>
      <c r="D133" s="16">
        <v>20583</v>
      </c>
      <c r="E133" s="16">
        <v>28111</v>
      </c>
      <c r="F133" s="16">
        <v>16370</v>
      </c>
      <c r="G133" s="16"/>
      <c r="H133" s="18"/>
    </row>
    <row r="134" spans="3:8" x14ac:dyDescent="0.25">
      <c r="C134" s="17">
        <v>5392</v>
      </c>
      <c r="D134" s="16">
        <v>20836</v>
      </c>
      <c r="E134" s="16">
        <v>19324</v>
      </c>
      <c r="F134" s="16">
        <v>37904</v>
      </c>
      <c r="G134" s="16"/>
      <c r="H134" s="18"/>
    </row>
    <row r="135" spans="3:8" x14ac:dyDescent="0.25">
      <c r="C135" s="17">
        <v>4261</v>
      </c>
      <c r="D135" s="16">
        <v>22647</v>
      </c>
      <c r="E135" s="16">
        <v>72966</v>
      </c>
      <c r="F135" s="16">
        <v>8979</v>
      </c>
      <c r="G135" s="16"/>
      <c r="H135" s="18"/>
    </row>
    <row r="136" spans="3:8" x14ac:dyDescent="0.25">
      <c r="C136" s="17">
        <v>40745</v>
      </c>
      <c r="D136" s="16">
        <v>15934</v>
      </c>
      <c r="E136" s="16">
        <v>8752</v>
      </c>
      <c r="F136" s="16">
        <v>28134</v>
      </c>
      <c r="G136" s="16"/>
      <c r="H136" s="18"/>
    </row>
    <row r="137" spans="3:8" x14ac:dyDescent="0.25">
      <c r="C137" s="17">
        <v>29861</v>
      </c>
      <c r="D137" s="16">
        <v>5549</v>
      </c>
      <c r="E137" s="16">
        <v>13438</v>
      </c>
      <c r="F137" s="16">
        <v>21513</v>
      </c>
      <c r="G137" s="16"/>
      <c r="H137" s="18"/>
    </row>
    <row r="138" spans="3:8" x14ac:dyDescent="0.25">
      <c r="C138" s="17">
        <v>21111</v>
      </c>
      <c r="D138" s="16">
        <v>79050</v>
      </c>
      <c r="E138" s="16">
        <v>25268</v>
      </c>
      <c r="F138" s="16">
        <v>104873</v>
      </c>
      <c r="G138" s="16"/>
      <c r="H138" s="18"/>
    </row>
    <row r="139" spans="3:8" x14ac:dyDescent="0.25">
      <c r="C139" s="17">
        <v>4343</v>
      </c>
      <c r="D139" s="16">
        <v>146428</v>
      </c>
      <c r="E139" s="16">
        <v>20777</v>
      </c>
      <c r="F139" s="16">
        <v>60452</v>
      </c>
      <c r="G139" s="16"/>
      <c r="H139" s="18"/>
    </row>
    <row r="140" spans="3:8" x14ac:dyDescent="0.25">
      <c r="C140" s="17">
        <v>20311</v>
      </c>
      <c r="D140" s="16">
        <v>24311</v>
      </c>
      <c r="E140" s="16">
        <v>27120</v>
      </c>
      <c r="F140" s="16">
        <v>13280</v>
      </c>
      <c r="G140" s="16"/>
      <c r="H140" s="18"/>
    </row>
    <row r="141" spans="3:8" x14ac:dyDescent="0.25">
      <c r="C141" s="17">
        <v>87097</v>
      </c>
      <c r="D141" s="16">
        <v>32285</v>
      </c>
      <c r="E141" s="16">
        <v>8711</v>
      </c>
      <c r="F141" s="16">
        <v>14234</v>
      </c>
      <c r="G141" s="16"/>
      <c r="H141" s="18"/>
    </row>
    <row r="142" spans="3:8" x14ac:dyDescent="0.25">
      <c r="C142" s="17">
        <v>24307</v>
      </c>
      <c r="D142" s="16">
        <v>44066</v>
      </c>
      <c r="E142" s="16">
        <v>111464</v>
      </c>
      <c r="F142" s="16">
        <v>116654</v>
      </c>
      <c r="G142" s="16"/>
      <c r="H142" s="18"/>
    </row>
    <row r="143" spans="3:8" x14ac:dyDescent="0.25">
      <c r="C143" s="17">
        <v>22088</v>
      </c>
      <c r="D143" s="16">
        <v>11949</v>
      </c>
      <c r="E143" s="16">
        <v>21511</v>
      </c>
      <c r="F143" s="16">
        <v>27714</v>
      </c>
      <c r="G143" s="16"/>
      <c r="H143" s="18"/>
    </row>
    <row r="144" spans="3:8" x14ac:dyDescent="0.25">
      <c r="C144" s="17">
        <v>26088</v>
      </c>
      <c r="D144" s="16">
        <v>109860</v>
      </c>
      <c r="E144" s="16">
        <v>29345</v>
      </c>
      <c r="F144" s="16">
        <v>19886</v>
      </c>
      <c r="G144" s="16"/>
      <c r="H144" s="18"/>
    </row>
    <row r="145" spans="3:8" x14ac:dyDescent="0.25">
      <c r="C145" s="17">
        <v>18553</v>
      </c>
      <c r="D145" s="16">
        <v>14942</v>
      </c>
      <c r="E145" s="16">
        <v>12578</v>
      </c>
      <c r="F145" s="16">
        <v>28223</v>
      </c>
      <c r="G145" s="16"/>
      <c r="H145" s="18"/>
    </row>
    <row r="146" spans="3:8" x14ac:dyDescent="0.25">
      <c r="C146" s="17">
        <v>88729</v>
      </c>
      <c r="D146" s="16">
        <v>21070</v>
      </c>
      <c r="E146" s="16">
        <v>9814</v>
      </c>
      <c r="F146" s="16">
        <v>102353</v>
      </c>
      <c r="G146" s="16"/>
      <c r="H146" s="18"/>
    </row>
    <row r="147" spans="3:8" x14ac:dyDescent="0.25">
      <c r="C147" s="17">
        <v>28916</v>
      </c>
      <c r="D147" s="16">
        <v>38398</v>
      </c>
      <c r="E147" s="16">
        <v>22738</v>
      </c>
      <c r="F147" s="16">
        <v>18071</v>
      </c>
      <c r="G147" s="16"/>
      <c r="H147" s="18"/>
    </row>
    <row r="148" spans="3:8" x14ac:dyDescent="0.25">
      <c r="C148" s="17">
        <v>7165</v>
      </c>
      <c r="D148" s="16">
        <v>22060</v>
      </c>
      <c r="E148" s="16">
        <v>17333</v>
      </c>
      <c r="F148" s="16">
        <v>93663</v>
      </c>
      <c r="G148" s="16"/>
      <c r="H148" s="18"/>
    </row>
    <row r="149" spans="3:8" x14ac:dyDescent="0.25">
      <c r="C149" s="17">
        <v>22861</v>
      </c>
      <c r="D149" s="16">
        <v>13987</v>
      </c>
      <c r="E149" s="16">
        <v>27877</v>
      </c>
      <c r="F149" s="16">
        <v>47097</v>
      </c>
      <c r="G149" s="16"/>
      <c r="H149" s="18"/>
    </row>
    <row r="150" spans="3:8" x14ac:dyDescent="0.25">
      <c r="C150" s="17">
        <v>60984</v>
      </c>
      <c r="D150" s="16">
        <v>21369</v>
      </c>
      <c r="E150" s="16">
        <v>18154</v>
      </c>
      <c r="F150" s="16">
        <v>45559</v>
      </c>
      <c r="G150" s="16"/>
      <c r="H150" s="18"/>
    </row>
    <row r="151" spans="3:8" x14ac:dyDescent="0.25">
      <c r="C151" s="17">
        <v>33573</v>
      </c>
      <c r="D151" s="16">
        <v>107425</v>
      </c>
      <c r="E151" s="16">
        <v>17467</v>
      </c>
      <c r="F151" s="16">
        <v>18843</v>
      </c>
      <c r="G151" s="16"/>
      <c r="H151" s="18"/>
    </row>
    <row r="152" spans="3:8" x14ac:dyDescent="0.25">
      <c r="C152" s="17">
        <v>29146</v>
      </c>
      <c r="D152" s="16">
        <v>9148</v>
      </c>
      <c r="E152" s="16">
        <v>18024</v>
      </c>
      <c r="F152" s="16">
        <v>150053</v>
      </c>
      <c r="G152" s="16"/>
      <c r="H152" s="18"/>
    </row>
    <row r="153" spans="3:8" x14ac:dyDescent="0.25">
      <c r="C153" s="17">
        <v>34557</v>
      </c>
      <c r="D153" s="16">
        <v>22955</v>
      </c>
      <c r="E153" s="16">
        <v>10665</v>
      </c>
      <c r="F153" s="16">
        <v>31199</v>
      </c>
      <c r="G153" s="16"/>
      <c r="H153" s="18"/>
    </row>
    <row r="154" spans="3:8" x14ac:dyDescent="0.25">
      <c r="C154" s="17">
        <v>30356</v>
      </c>
      <c r="D154" s="16">
        <v>28317</v>
      </c>
      <c r="E154" s="16">
        <v>27534</v>
      </c>
      <c r="F154" s="16">
        <v>17464</v>
      </c>
      <c r="G154" s="16"/>
      <c r="H154" s="18"/>
    </row>
    <row r="155" spans="3:8" x14ac:dyDescent="0.25">
      <c r="C155" s="17">
        <v>47388</v>
      </c>
      <c r="D155" s="16">
        <v>25215</v>
      </c>
      <c r="E155" s="16">
        <v>11072</v>
      </c>
      <c r="F155" s="16">
        <v>10741</v>
      </c>
      <c r="G155" s="16"/>
      <c r="H155" s="18"/>
    </row>
    <row r="156" spans="3:8" x14ac:dyDescent="0.25">
      <c r="C156" s="17">
        <v>33380</v>
      </c>
      <c r="D156" s="16">
        <v>23478</v>
      </c>
      <c r="E156" s="16">
        <v>13961</v>
      </c>
      <c r="F156" s="16">
        <v>22754</v>
      </c>
      <c r="G156" s="16"/>
      <c r="H156" s="18"/>
    </row>
    <row r="157" spans="3:8" x14ac:dyDescent="0.25">
      <c r="C157" s="17">
        <v>33043</v>
      </c>
      <c r="D157" s="16">
        <v>6773</v>
      </c>
      <c r="E157" s="16">
        <v>20548</v>
      </c>
      <c r="F157" s="16">
        <v>28592</v>
      </c>
      <c r="G157" s="16"/>
      <c r="H157" s="18"/>
    </row>
    <row r="158" spans="3:8" x14ac:dyDescent="0.25">
      <c r="C158" s="17">
        <v>34955</v>
      </c>
      <c r="D158" s="16">
        <v>15309</v>
      </c>
      <c r="E158" s="16">
        <v>40173</v>
      </c>
      <c r="F158" s="16">
        <v>75159</v>
      </c>
      <c r="G158" s="16"/>
      <c r="H158" s="18"/>
    </row>
    <row r="159" spans="3:8" x14ac:dyDescent="0.25">
      <c r="C159" s="17">
        <v>4089</v>
      </c>
      <c r="D159" s="16">
        <v>26449</v>
      </c>
      <c r="E159" s="16">
        <v>109535</v>
      </c>
      <c r="F159" s="16">
        <v>21538</v>
      </c>
      <c r="G159" s="16"/>
      <c r="H159" s="18"/>
    </row>
    <row r="160" spans="3:8" x14ac:dyDescent="0.25">
      <c r="C160" s="17">
        <v>29577</v>
      </c>
      <c r="D160" s="16">
        <v>8526</v>
      </c>
      <c r="E160" s="16">
        <v>11799</v>
      </c>
      <c r="F160" s="16">
        <v>23255</v>
      </c>
      <c r="G160" s="16"/>
      <c r="H160" s="18"/>
    </row>
    <row r="161" spans="3:8" x14ac:dyDescent="0.25">
      <c r="C161" s="17">
        <v>22330</v>
      </c>
      <c r="D161" s="16">
        <v>65981</v>
      </c>
      <c r="E161" s="16">
        <v>17901</v>
      </c>
      <c r="F161" s="16">
        <v>116795</v>
      </c>
      <c r="G161" s="16"/>
      <c r="H161" s="18"/>
    </row>
    <row r="162" spans="3:8" x14ac:dyDescent="0.25">
      <c r="C162" s="17">
        <v>8886</v>
      </c>
      <c r="D162" s="16">
        <v>55481</v>
      </c>
      <c r="E162" s="16">
        <v>16006</v>
      </c>
      <c r="F162" s="16">
        <v>46915</v>
      </c>
      <c r="G162" s="16"/>
      <c r="H162" s="18"/>
    </row>
    <row r="163" spans="3:8" x14ac:dyDescent="0.25">
      <c r="C163" s="17">
        <v>31012</v>
      </c>
      <c r="D163" s="16">
        <v>12871</v>
      </c>
      <c r="E163" s="16">
        <v>90053</v>
      </c>
      <c r="F163" s="16">
        <v>13563</v>
      </c>
      <c r="G163" s="16"/>
      <c r="H163" s="18"/>
    </row>
    <row r="164" spans="3:8" x14ac:dyDescent="0.25">
      <c r="C164" s="17">
        <v>35333</v>
      </c>
      <c r="D164" s="16">
        <v>21759</v>
      </c>
      <c r="E164" s="16">
        <v>35299</v>
      </c>
      <c r="F164" s="16">
        <v>28529</v>
      </c>
      <c r="G164" s="16"/>
      <c r="H164" s="18"/>
    </row>
    <row r="165" spans="3:8" x14ac:dyDescent="0.25">
      <c r="C165" s="17">
        <v>61508</v>
      </c>
      <c r="D165" s="16">
        <v>16251</v>
      </c>
      <c r="E165" s="16">
        <v>29324</v>
      </c>
      <c r="F165" s="16">
        <v>26501</v>
      </c>
      <c r="G165" s="16"/>
      <c r="H165" s="18"/>
    </row>
    <row r="166" spans="3:8" x14ac:dyDescent="0.25">
      <c r="C166" s="17">
        <v>4593</v>
      </c>
      <c r="D166" s="16">
        <v>6463</v>
      </c>
      <c r="E166" s="16">
        <v>115284</v>
      </c>
      <c r="F166" s="16"/>
      <c r="G166" s="16"/>
      <c r="H166" s="18"/>
    </row>
    <row r="167" spans="3:8" x14ac:dyDescent="0.25">
      <c r="C167" s="17">
        <v>4019</v>
      </c>
      <c r="D167" s="16">
        <v>11915</v>
      </c>
      <c r="E167" s="16">
        <v>30674</v>
      </c>
      <c r="F167" s="16"/>
      <c r="G167" s="16"/>
      <c r="H167" s="18"/>
    </row>
    <row r="168" spans="3:8" x14ac:dyDescent="0.25">
      <c r="C168" s="17">
        <v>34611</v>
      </c>
      <c r="D168" s="16">
        <v>65591</v>
      </c>
      <c r="E168" s="16">
        <v>16501</v>
      </c>
      <c r="F168" s="16"/>
      <c r="G168" s="16"/>
      <c r="H168" s="18"/>
    </row>
    <row r="169" spans="3:8" x14ac:dyDescent="0.25">
      <c r="C169" s="17">
        <v>33538</v>
      </c>
      <c r="D169" s="16">
        <v>87016</v>
      </c>
      <c r="E169" s="16">
        <v>15780</v>
      </c>
      <c r="F169" s="16"/>
      <c r="G169" s="16"/>
      <c r="H169" s="18"/>
    </row>
    <row r="170" spans="3:8" x14ac:dyDescent="0.25">
      <c r="C170" s="17">
        <v>30073</v>
      </c>
      <c r="D170" s="16">
        <v>20170</v>
      </c>
      <c r="E170" s="16">
        <v>110507</v>
      </c>
      <c r="F170" s="16"/>
      <c r="G170" s="16"/>
      <c r="H170" s="18"/>
    </row>
    <row r="171" spans="3:8" x14ac:dyDescent="0.25">
      <c r="C171" s="17">
        <v>3479</v>
      </c>
      <c r="D171" s="16">
        <v>5906</v>
      </c>
      <c r="E171" s="16">
        <v>49495</v>
      </c>
      <c r="F171" s="16"/>
      <c r="G171" s="16"/>
      <c r="H171" s="18"/>
    </row>
    <row r="172" spans="3:8" x14ac:dyDescent="0.25">
      <c r="C172" s="17">
        <v>45085</v>
      </c>
      <c r="D172" s="16">
        <v>8945</v>
      </c>
      <c r="E172" s="16">
        <v>11410</v>
      </c>
      <c r="F172" s="16"/>
      <c r="G172" s="16"/>
      <c r="H172" s="18"/>
    </row>
    <row r="173" spans="3:8" x14ac:dyDescent="0.25">
      <c r="C173" s="17">
        <v>95316</v>
      </c>
      <c r="D173" s="16">
        <v>100684</v>
      </c>
      <c r="E173" s="16">
        <v>13144</v>
      </c>
      <c r="F173" s="16"/>
      <c r="G173" s="16"/>
      <c r="H173" s="18"/>
    </row>
    <row r="174" spans="3:8" x14ac:dyDescent="0.25">
      <c r="C174" s="17">
        <v>105759</v>
      </c>
      <c r="D174" s="16">
        <v>13463</v>
      </c>
      <c r="E174" s="16">
        <v>63333</v>
      </c>
      <c r="F174" s="16"/>
      <c r="G174" s="16"/>
      <c r="H174" s="18"/>
    </row>
    <row r="175" spans="3:8" x14ac:dyDescent="0.25">
      <c r="C175" s="17">
        <v>51954</v>
      </c>
      <c r="D175" s="16">
        <v>22327</v>
      </c>
      <c r="E175" s="16">
        <v>7284</v>
      </c>
      <c r="F175" s="16"/>
      <c r="G175" s="16"/>
      <c r="H175" s="18"/>
    </row>
    <row r="176" spans="3:8" x14ac:dyDescent="0.25">
      <c r="C176" s="17">
        <v>3155</v>
      </c>
      <c r="D176" s="16">
        <v>4319</v>
      </c>
      <c r="E176" s="16">
        <v>11683</v>
      </c>
      <c r="F176" s="16"/>
      <c r="G176" s="16"/>
      <c r="H176" s="18"/>
    </row>
    <row r="177" spans="3:8" x14ac:dyDescent="0.25">
      <c r="C177" s="17">
        <v>29641</v>
      </c>
      <c r="D177" s="16">
        <v>23917</v>
      </c>
      <c r="E177" s="16">
        <v>80272</v>
      </c>
      <c r="F177" s="16"/>
      <c r="G177" s="16"/>
      <c r="H177" s="18"/>
    </row>
    <row r="178" spans="3:8" x14ac:dyDescent="0.25">
      <c r="C178" s="17">
        <v>7942</v>
      </c>
      <c r="D178" s="16">
        <v>32782</v>
      </c>
      <c r="E178" s="16">
        <v>5760</v>
      </c>
      <c r="F178" s="16"/>
      <c r="G178" s="16"/>
      <c r="H178" s="18"/>
    </row>
    <row r="179" spans="3:8" x14ac:dyDescent="0.25">
      <c r="C179" s="17">
        <v>5345</v>
      </c>
      <c r="D179" s="16">
        <v>25265</v>
      </c>
      <c r="E179" s="16">
        <v>17900</v>
      </c>
      <c r="F179" s="16"/>
      <c r="G179" s="16"/>
      <c r="H179" s="18"/>
    </row>
    <row r="180" spans="3:8" x14ac:dyDescent="0.25">
      <c r="C180" s="17">
        <v>18817</v>
      </c>
      <c r="D180" s="16">
        <v>16662</v>
      </c>
      <c r="E180" s="16">
        <v>118657</v>
      </c>
      <c r="F180" s="16"/>
      <c r="G180" s="16"/>
      <c r="H180" s="18"/>
    </row>
    <row r="181" spans="3:8" x14ac:dyDescent="0.25">
      <c r="C181" s="17">
        <v>41466</v>
      </c>
      <c r="D181" s="16">
        <v>41644</v>
      </c>
      <c r="E181" s="16">
        <v>97496</v>
      </c>
      <c r="F181" s="16"/>
      <c r="G181" s="16"/>
      <c r="H181" s="18"/>
    </row>
    <row r="182" spans="3:8" x14ac:dyDescent="0.25">
      <c r="C182" s="17">
        <v>4079</v>
      </c>
      <c r="D182" s="16">
        <v>16953</v>
      </c>
      <c r="E182" s="16">
        <v>66168</v>
      </c>
      <c r="F182" s="16"/>
      <c r="G182" s="16"/>
      <c r="H182" s="18"/>
    </row>
    <row r="183" spans="3:8" x14ac:dyDescent="0.25">
      <c r="C183" s="17">
        <v>23162</v>
      </c>
      <c r="D183" s="16">
        <v>25164</v>
      </c>
      <c r="E183" s="16">
        <v>59918</v>
      </c>
      <c r="F183" s="16"/>
      <c r="G183" s="16"/>
      <c r="H183" s="18"/>
    </row>
    <row r="184" spans="3:8" x14ac:dyDescent="0.25">
      <c r="C184" s="17">
        <v>36732</v>
      </c>
      <c r="D184" s="16">
        <v>23618</v>
      </c>
      <c r="E184" s="16">
        <v>8200</v>
      </c>
      <c r="F184" s="16"/>
      <c r="G184" s="16"/>
      <c r="H184" s="18"/>
    </row>
    <row r="185" spans="3:8" x14ac:dyDescent="0.25">
      <c r="C185" s="17">
        <v>8150</v>
      </c>
      <c r="D185" s="16">
        <v>23960</v>
      </c>
      <c r="E185" s="16">
        <v>17862</v>
      </c>
      <c r="F185" s="16"/>
      <c r="G185" s="16"/>
      <c r="H185" s="18"/>
    </row>
    <row r="186" spans="3:8" x14ac:dyDescent="0.25">
      <c r="C186" s="17">
        <v>10463</v>
      </c>
      <c r="D186" s="16">
        <v>24776</v>
      </c>
      <c r="E186" s="16">
        <v>25296</v>
      </c>
      <c r="F186" s="16"/>
      <c r="G186" s="16"/>
      <c r="H186" s="18"/>
    </row>
    <row r="187" spans="3:8" x14ac:dyDescent="0.25">
      <c r="C187" s="17">
        <v>4053</v>
      </c>
      <c r="D187" s="16">
        <v>21392</v>
      </c>
      <c r="E187" s="16">
        <v>43404</v>
      </c>
      <c r="F187" s="16"/>
      <c r="G187" s="16"/>
      <c r="H187" s="18"/>
    </row>
    <row r="188" spans="3:8" x14ac:dyDescent="0.25">
      <c r="C188" s="17">
        <v>5337</v>
      </c>
      <c r="D188" s="16">
        <v>6042</v>
      </c>
      <c r="E188" s="16">
        <v>11083</v>
      </c>
      <c r="F188" s="16"/>
      <c r="G188" s="16"/>
      <c r="H188" s="18"/>
    </row>
    <row r="189" spans="3:8" x14ac:dyDescent="0.25">
      <c r="C189" s="17">
        <v>22852</v>
      </c>
      <c r="D189" s="16">
        <v>47602</v>
      </c>
      <c r="E189" s="16">
        <v>11096</v>
      </c>
      <c r="F189" s="16"/>
      <c r="G189" s="16"/>
      <c r="H189" s="18"/>
    </row>
    <row r="190" spans="3:8" x14ac:dyDescent="0.25">
      <c r="C190" s="17">
        <v>72376</v>
      </c>
      <c r="D190" s="16">
        <v>20157</v>
      </c>
      <c r="E190" s="16">
        <v>58104</v>
      </c>
      <c r="F190" s="16"/>
      <c r="G190" s="16"/>
      <c r="H190" s="18"/>
    </row>
    <row r="191" spans="3:8" x14ac:dyDescent="0.25">
      <c r="C191" s="17">
        <v>117223</v>
      </c>
      <c r="D191" s="16">
        <v>17627</v>
      </c>
      <c r="E191" s="16">
        <v>46919</v>
      </c>
      <c r="F191" s="16"/>
      <c r="G191" s="16"/>
      <c r="H191" s="18"/>
    </row>
    <row r="192" spans="3:8" x14ac:dyDescent="0.25">
      <c r="C192" s="17">
        <v>116498</v>
      </c>
      <c r="D192" s="16">
        <v>23465</v>
      </c>
      <c r="E192" s="16">
        <v>9970</v>
      </c>
      <c r="F192" s="16"/>
      <c r="G192" s="16"/>
      <c r="H192" s="18"/>
    </row>
    <row r="193" spans="3:8" x14ac:dyDescent="0.25">
      <c r="C193" s="17">
        <v>6818</v>
      </c>
      <c r="D193" s="16">
        <v>61301</v>
      </c>
      <c r="E193" s="16">
        <v>65047</v>
      </c>
      <c r="F193" s="16"/>
      <c r="G193" s="16"/>
      <c r="H193" s="18"/>
    </row>
    <row r="194" spans="3:8" x14ac:dyDescent="0.25">
      <c r="C194" s="17">
        <v>18309</v>
      </c>
      <c r="D194" s="16">
        <v>10876</v>
      </c>
      <c r="E194" s="16">
        <v>17195</v>
      </c>
      <c r="F194" s="16"/>
      <c r="G194" s="16"/>
      <c r="H194" s="18"/>
    </row>
    <row r="195" spans="3:8" x14ac:dyDescent="0.25">
      <c r="C195" s="17">
        <v>57707</v>
      </c>
      <c r="D195" s="16">
        <v>11799</v>
      </c>
      <c r="E195" s="16">
        <v>93711</v>
      </c>
      <c r="F195" s="16"/>
      <c r="G195" s="16"/>
      <c r="H195" s="18"/>
    </row>
    <row r="196" spans="3:8" x14ac:dyDescent="0.25">
      <c r="C196" s="17">
        <v>14924</v>
      </c>
      <c r="D196" s="16">
        <v>17617</v>
      </c>
      <c r="E196" s="16">
        <v>56234</v>
      </c>
      <c r="F196" s="16"/>
      <c r="G196" s="16"/>
      <c r="H196" s="18"/>
    </row>
    <row r="197" spans="3:8" x14ac:dyDescent="0.25">
      <c r="C197" s="17">
        <v>31595</v>
      </c>
      <c r="D197" s="16">
        <v>5258</v>
      </c>
      <c r="E197" s="16">
        <v>54702</v>
      </c>
      <c r="F197" s="16"/>
      <c r="G197" s="16"/>
      <c r="H197" s="18"/>
    </row>
    <row r="198" spans="3:8" x14ac:dyDescent="0.25">
      <c r="C198" s="17">
        <v>5637</v>
      </c>
      <c r="D198" s="16">
        <v>71192</v>
      </c>
      <c r="E198" s="16">
        <v>22445</v>
      </c>
      <c r="F198" s="16"/>
      <c r="G198" s="16"/>
      <c r="H198" s="18"/>
    </row>
    <row r="199" spans="3:8" x14ac:dyDescent="0.25">
      <c r="C199" s="17">
        <v>7243</v>
      </c>
      <c r="D199" s="16">
        <v>8274</v>
      </c>
      <c r="E199" s="16">
        <v>30242</v>
      </c>
      <c r="F199" s="16"/>
      <c r="G199" s="16"/>
      <c r="H199" s="18"/>
    </row>
    <row r="200" spans="3:8" x14ac:dyDescent="0.25">
      <c r="C200" s="17">
        <v>92698</v>
      </c>
      <c r="D200" s="16">
        <v>58503</v>
      </c>
      <c r="E200" s="16">
        <v>29710</v>
      </c>
      <c r="F200" s="16"/>
      <c r="G200" s="16"/>
      <c r="H200" s="18"/>
    </row>
    <row r="201" spans="3:8" x14ac:dyDescent="0.25">
      <c r="C201" s="17">
        <v>2873</v>
      </c>
      <c r="D201" s="16">
        <v>18615</v>
      </c>
      <c r="E201" s="16">
        <v>37549</v>
      </c>
      <c r="F201" s="16"/>
      <c r="G201" s="16"/>
      <c r="H201" s="18"/>
    </row>
    <row r="202" spans="3:8" x14ac:dyDescent="0.25">
      <c r="C202" s="17">
        <v>18363</v>
      </c>
      <c r="D202" s="16">
        <v>51934</v>
      </c>
      <c r="E202" s="16">
        <v>111603</v>
      </c>
      <c r="F202" s="16"/>
      <c r="G202" s="16"/>
      <c r="H202" s="18"/>
    </row>
    <row r="203" spans="3:8" x14ac:dyDescent="0.25">
      <c r="C203" s="17">
        <v>31827</v>
      </c>
      <c r="D203" s="16">
        <v>15294</v>
      </c>
      <c r="E203" s="16">
        <v>41941</v>
      </c>
      <c r="F203" s="16"/>
      <c r="G203" s="16"/>
      <c r="H203" s="18"/>
    </row>
    <row r="204" spans="3:8" x14ac:dyDescent="0.25">
      <c r="C204" s="17">
        <v>28635</v>
      </c>
      <c r="D204" s="16">
        <v>13444</v>
      </c>
      <c r="E204" s="16">
        <v>26235</v>
      </c>
      <c r="F204" s="16"/>
      <c r="G204" s="16"/>
      <c r="H204" s="18"/>
    </row>
    <row r="205" spans="3:8" x14ac:dyDescent="0.25">
      <c r="C205" s="17">
        <v>14777</v>
      </c>
      <c r="D205" s="16">
        <v>24682</v>
      </c>
      <c r="E205" s="16">
        <v>90311</v>
      </c>
      <c r="F205" s="16"/>
      <c r="G205" s="16"/>
      <c r="H205" s="18"/>
    </row>
    <row r="206" spans="3:8" x14ac:dyDescent="0.25">
      <c r="C206" s="17">
        <v>4924</v>
      </c>
      <c r="D206" s="16">
        <v>6095</v>
      </c>
      <c r="E206" s="16">
        <v>20868</v>
      </c>
      <c r="F206" s="16"/>
      <c r="G206" s="16"/>
      <c r="H206" s="18"/>
    </row>
    <row r="207" spans="3:8" x14ac:dyDescent="0.25">
      <c r="C207" s="17">
        <v>4424</v>
      </c>
      <c r="D207" s="16">
        <v>45545</v>
      </c>
      <c r="E207" s="16">
        <v>14591</v>
      </c>
      <c r="F207" s="16"/>
      <c r="G207" s="16"/>
      <c r="H207" s="18"/>
    </row>
    <row r="208" spans="3:8" x14ac:dyDescent="0.25">
      <c r="C208" s="17">
        <v>54493</v>
      </c>
      <c r="D208" s="16">
        <v>28940</v>
      </c>
      <c r="E208" s="16">
        <v>9234</v>
      </c>
      <c r="F208" s="16"/>
      <c r="G208" s="16"/>
      <c r="H208" s="18"/>
    </row>
    <row r="209" spans="3:8" x14ac:dyDescent="0.25">
      <c r="C209" s="17">
        <v>29602</v>
      </c>
      <c r="D209" s="16">
        <v>8481</v>
      </c>
      <c r="E209" s="16">
        <v>15845</v>
      </c>
      <c r="F209" s="16"/>
      <c r="G209" s="16"/>
      <c r="H209" s="18"/>
    </row>
    <row r="210" spans="3:8" x14ac:dyDescent="0.25">
      <c r="C210" s="17">
        <v>26504</v>
      </c>
      <c r="D210" s="16">
        <v>17123</v>
      </c>
      <c r="E210" s="16">
        <v>24076</v>
      </c>
      <c r="F210" s="16"/>
      <c r="G210" s="16"/>
      <c r="H210" s="18"/>
    </row>
    <row r="211" spans="3:8" x14ac:dyDescent="0.25">
      <c r="C211" s="17">
        <v>55360</v>
      </c>
      <c r="D211" s="16">
        <v>65351</v>
      </c>
      <c r="E211" s="16">
        <v>36065</v>
      </c>
      <c r="F211" s="16"/>
      <c r="G211" s="16"/>
      <c r="H211" s="18"/>
    </row>
    <row r="212" spans="3:8" x14ac:dyDescent="0.25">
      <c r="C212" s="17">
        <v>27914</v>
      </c>
      <c r="D212" s="16">
        <v>15706</v>
      </c>
      <c r="E212" s="16">
        <v>12810</v>
      </c>
      <c r="F212" s="16"/>
      <c r="G212" s="16"/>
      <c r="H212" s="18"/>
    </row>
    <row r="213" spans="3:8" x14ac:dyDescent="0.25">
      <c r="C213" s="17">
        <v>4080</v>
      </c>
      <c r="D213" s="16">
        <v>6973</v>
      </c>
      <c r="E213" s="16">
        <v>11324</v>
      </c>
      <c r="F213" s="16"/>
      <c r="G213" s="16"/>
      <c r="H213" s="18"/>
    </row>
    <row r="214" spans="3:8" x14ac:dyDescent="0.25">
      <c r="C214" s="17">
        <v>6243</v>
      </c>
      <c r="D214" s="16">
        <v>49299</v>
      </c>
      <c r="E214" s="16">
        <v>11677</v>
      </c>
      <c r="F214" s="16"/>
      <c r="G214" s="16"/>
      <c r="H214" s="18"/>
    </row>
    <row r="215" spans="3:8" x14ac:dyDescent="0.25">
      <c r="C215" s="17">
        <v>5509</v>
      </c>
      <c r="D215" s="16">
        <v>29863</v>
      </c>
      <c r="E215" s="16">
        <v>56196</v>
      </c>
      <c r="F215" s="16"/>
      <c r="G215" s="16"/>
      <c r="H215" s="18"/>
    </row>
    <row r="216" spans="3:8" x14ac:dyDescent="0.25">
      <c r="C216" s="17">
        <v>4361</v>
      </c>
      <c r="D216" s="16">
        <v>5554</v>
      </c>
      <c r="E216" s="16">
        <v>16145</v>
      </c>
      <c r="F216" s="16"/>
      <c r="G216" s="16"/>
      <c r="H216" s="18"/>
    </row>
    <row r="217" spans="3:8" x14ac:dyDescent="0.25">
      <c r="C217" s="17">
        <v>52197</v>
      </c>
      <c r="D217" s="16">
        <v>19084</v>
      </c>
      <c r="E217" s="16">
        <v>11085</v>
      </c>
      <c r="F217" s="16"/>
      <c r="G217" s="16"/>
      <c r="H217" s="18"/>
    </row>
    <row r="218" spans="3:8" x14ac:dyDescent="0.25">
      <c r="C218" s="17">
        <v>87869</v>
      </c>
      <c r="D218" s="16">
        <v>6598</v>
      </c>
      <c r="E218" s="16">
        <v>21510</v>
      </c>
      <c r="F218" s="16"/>
      <c r="G218" s="16"/>
      <c r="H218" s="18"/>
    </row>
    <row r="219" spans="3:8" x14ac:dyDescent="0.25">
      <c r="C219" s="17">
        <v>6336</v>
      </c>
      <c r="D219" s="16">
        <v>19067</v>
      </c>
      <c r="E219" s="16">
        <v>13319</v>
      </c>
      <c r="F219" s="16"/>
      <c r="G219" s="16"/>
      <c r="H219" s="18"/>
    </row>
    <row r="220" spans="3:8" x14ac:dyDescent="0.25">
      <c r="C220" s="17">
        <v>3836</v>
      </c>
      <c r="D220" s="16">
        <v>13113</v>
      </c>
      <c r="E220" s="16">
        <v>12337</v>
      </c>
      <c r="F220" s="16"/>
      <c r="G220" s="16"/>
      <c r="H220" s="18"/>
    </row>
    <row r="221" spans="3:8" x14ac:dyDescent="0.25">
      <c r="C221" s="17">
        <v>4561</v>
      </c>
      <c r="D221" s="16">
        <v>13721</v>
      </c>
      <c r="E221" s="16">
        <v>15497</v>
      </c>
      <c r="F221" s="16"/>
      <c r="G221" s="16"/>
      <c r="H221" s="18"/>
    </row>
    <row r="222" spans="3:8" x14ac:dyDescent="0.25">
      <c r="C222" s="17">
        <v>4055</v>
      </c>
      <c r="D222" s="16">
        <v>30081</v>
      </c>
      <c r="E222" s="16">
        <v>21833</v>
      </c>
      <c r="F222" s="16"/>
      <c r="G222" s="16"/>
      <c r="H222" s="18"/>
    </row>
    <row r="223" spans="3:8" x14ac:dyDescent="0.25">
      <c r="C223" s="17">
        <v>10868</v>
      </c>
      <c r="D223" s="16">
        <v>15724</v>
      </c>
      <c r="E223" s="16">
        <v>92277</v>
      </c>
      <c r="F223" s="16"/>
      <c r="G223" s="16"/>
      <c r="H223" s="18"/>
    </row>
    <row r="224" spans="3:8" x14ac:dyDescent="0.25">
      <c r="C224" s="17">
        <v>3135</v>
      </c>
      <c r="D224" s="16">
        <v>7318</v>
      </c>
      <c r="E224" s="16">
        <v>96039</v>
      </c>
      <c r="F224" s="16"/>
      <c r="G224" s="16"/>
      <c r="H224" s="18"/>
    </row>
    <row r="225" spans="3:8" x14ac:dyDescent="0.25">
      <c r="C225" s="17">
        <v>122213</v>
      </c>
      <c r="D225" s="16">
        <v>15596</v>
      </c>
      <c r="E225" s="16">
        <v>58908</v>
      </c>
      <c r="F225" s="16"/>
      <c r="G225" s="16"/>
      <c r="H225" s="18"/>
    </row>
    <row r="226" spans="3:8" x14ac:dyDescent="0.25">
      <c r="C226" s="17">
        <v>4372</v>
      </c>
      <c r="D226" s="16">
        <v>23874</v>
      </c>
      <c r="E226" s="16">
        <v>27017</v>
      </c>
      <c r="F226" s="16"/>
      <c r="G226" s="16"/>
      <c r="H226" s="18"/>
    </row>
    <row r="227" spans="3:8" x14ac:dyDescent="0.25">
      <c r="C227" s="17">
        <v>61283</v>
      </c>
      <c r="D227" s="16">
        <v>29185</v>
      </c>
      <c r="E227" s="16">
        <v>10145</v>
      </c>
      <c r="F227" s="16"/>
      <c r="G227" s="16"/>
      <c r="H227" s="18"/>
    </row>
    <row r="228" spans="3:8" x14ac:dyDescent="0.25">
      <c r="C228" s="17">
        <v>5491</v>
      </c>
      <c r="D228" s="16">
        <v>97618</v>
      </c>
      <c r="E228" s="16">
        <v>16484</v>
      </c>
      <c r="F228" s="16"/>
      <c r="G228" s="16"/>
      <c r="H228" s="18"/>
    </row>
    <row r="229" spans="3:8" x14ac:dyDescent="0.25">
      <c r="C229" s="17">
        <v>31435</v>
      </c>
      <c r="D229" s="16">
        <v>11318</v>
      </c>
      <c r="E229" s="16">
        <v>16601</v>
      </c>
      <c r="F229" s="16"/>
      <c r="G229" s="16"/>
      <c r="H229" s="18"/>
    </row>
    <row r="230" spans="3:8" x14ac:dyDescent="0.25">
      <c r="C230" s="17">
        <v>4918</v>
      </c>
      <c r="D230" s="16">
        <v>50024</v>
      </c>
      <c r="E230" s="16">
        <v>17905</v>
      </c>
      <c r="F230" s="16"/>
      <c r="G230" s="16"/>
      <c r="H230" s="18"/>
    </row>
    <row r="231" spans="3:8" x14ac:dyDescent="0.25">
      <c r="C231" s="17">
        <v>33677</v>
      </c>
      <c r="D231" s="16">
        <v>9689</v>
      </c>
      <c r="E231" s="16">
        <v>21289</v>
      </c>
      <c r="F231" s="16"/>
      <c r="G231" s="16"/>
      <c r="H231" s="18"/>
    </row>
    <row r="232" spans="3:8" x14ac:dyDescent="0.25">
      <c r="C232" s="17">
        <v>90494</v>
      </c>
      <c r="D232" s="16">
        <v>104999</v>
      </c>
      <c r="E232" s="16">
        <v>118175</v>
      </c>
      <c r="F232" s="16"/>
      <c r="G232" s="16"/>
      <c r="H232" s="18"/>
    </row>
    <row r="233" spans="3:8" x14ac:dyDescent="0.25">
      <c r="C233" s="17">
        <v>17093</v>
      </c>
      <c r="D233" s="16">
        <v>31525</v>
      </c>
      <c r="E233" s="16">
        <v>123944</v>
      </c>
      <c r="F233" s="16"/>
      <c r="G233" s="16"/>
      <c r="H233" s="18"/>
    </row>
    <row r="234" spans="3:8" x14ac:dyDescent="0.25">
      <c r="C234" s="17">
        <v>81371</v>
      </c>
      <c r="D234" s="16">
        <v>102586</v>
      </c>
      <c r="E234" s="16">
        <v>25927</v>
      </c>
      <c r="F234" s="16"/>
      <c r="G234" s="16"/>
      <c r="H234" s="18"/>
    </row>
    <row r="235" spans="3:8" x14ac:dyDescent="0.25">
      <c r="C235" s="17">
        <v>7611</v>
      </c>
      <c r="D235" s="16">
        <v>71172</v>
      </c>
      <c r="E235" s="16">
        <v>10473</v>
      </c>
      <c r="F235" s="16"/>
      <c r="G235" s="16"/>
      <c r="H235" s="18"/>
    </row>
    <row r="236" spans="3:8" x14ac:dyDescent="0.25">
      <c r="C236" s="17">
        <v>28638</v>
      </c>
      <c r="D236" s="16">
        <v>6825</v>
      </c>
      <c r="E236" s="16">
        <v>61339</v>
      </c>
      <c r="F236" s="16"/>
      <c r="G236" s="16"/>
      <c r="H236" s="18"/>
    </row>
    <row r="237" spans="3:8" x14ac:dyDescent="0.25">
      <c r="C237" s="17">
        <v>6246</v>
      </c>
      <c r="D237" s="16">
        <v>36187</v>
      </c>
      <c r="E237" s="16">
        <v>95861</v>
      </c>
      <c r="F237" s="16"/>
      <c r="G237" s="16"/>
      <c r="H237" s="18"/>
    </row>
    <row r="238" spans="3:8" x14ac:dyDescent="0.25">
      <c r="C238" s="17">
        <v>23403</v>
      </c>
      <c r="D238" s="16">
        <v>11866</v>
      </c>
      <c r="E238" s="16">
        <v>17835</v>
      </c>
      <c r="F238" s="16"/>
      <c r="G238" s="16"/>
      <c r="H238" s="18"/>
    </row>
    <row r="239" spans="3:8" x14ac:dyDescent="0.25">
      <c r="C239" s="17">
        <v>3141</v>
      </c>
      <c r="D239" s="16">
        <v>18795</v>
      </c>
      <c r="E239" s="16">
        <v>10851</v>
      </c>
      <c r="F239" s="16"/>
      <c r="G239" s="16"/>
      <c r="H239" s="18"/>
    </row>
    <row r="240" spans="3:8" x14ac:dyDescent="0.25">
      <c r="C240" s="17">
        <v>28407</v>
      </c>
      <c r="D240" s="16">
        <v>7257</v>
      </c>
      <c r="E240" s="16">
        <v>13154</v>
      </c>
      <c r="F240" s="16"/>
      <c r="G240" s="16"/>
      <c r="H240" s="18"/>
    </row>
    <row r="241" spans="3:8" x14ac:dyDescent="0.25">
      <c r="C241" s="17">
        <v>9644</v>
      </c>
      <c r="D241" s="16">
        <v>63793</v>
      </c>
      <c r="E241" s="16">
        <v>53148</v>
      </c>
      <c r="F241" s="16"/>
      <c r="G241" s="16"/>
      <c r="H241" s="18"/>
    </row>
    <row r="242" spans="3:8" x14ac:dyDescent="0.25">
      <c r="C242" s="17">
        <v>64141</v>
      </c>
      <c r="D242" s="16">
        <v>41991</v>
      </c>
      <c r="E242" s="16">
        <v>17190</v>
      </c>
      <c r="F242" s="16"/>
      <c r="G242" s="16"/>
      <c r="H242" s="18"/>
    </row>
    <row r="243" spans="3:8" x14ac:dyDescent="0.25">
      <c r="C243" s="17">
        <v>9985</v>
      </c>
      <c r="D243" s="16">
        <v>19062</v>
      </c>
      <c r="E243" s="16">
        <v>90994</v>
      </c>
      <c r="F243" s="16"/>
      <c r="G243" s="16"/>
      <c r="H243" s="18"/>
    </row>
    <row r="244" spans="3:8" x14ac:dyDescent="0.25">
      <c r="C244" s="17">
        <v>24666</v>
      </c>
      <c r="D244" s="16">
        <v>70850</v>
      </c>
      <c r="E244" s="16">
        <v>18004</v>
      </c>
      <c r="F244" s="16"/>
      <c r="G244" s="16"/>
      <c r="H244" s="18"/>
    </row>
    <row r="245" spans="3:8" x14ac:dyDescent="0.25">
      <c r="C245" s="17">
        <v>13494</v>
      </c>
      <c r="D245" s="16">
        <v>8447</v>
      </c>
      <c r="E245" s="16">
        <v>109741</v>
      </c>
      <c r="F245" s="16"/>
      <c r="G245" s="16"/>
      <c r="H245" s="18"/>
    </row>
    <row r="246" spans="3:8" x14ac:dyDescent="0.25">
      <c r="C246" s="17">
        <v>28707</v>
      </c>
      <c r="D246" s="16">
        <v>13711</v>
      </c>
      <c r="E246" s="16">
        <v>55989</v>
      </c>
      <c r="F246" s="16"/>
      <c r="G246" s="16"/>
      <c r="H246" s="18"/>
    </row>
    <row r="247" spans="3:8" x14ac:dyDescent="0.25">
      <c r="C247" s="17">
        <v>4270</v>
      </c>
      <c r="D247" s="16">
        <v>21569</v>
      </c>
      <c r="E247" s="16">
        <v>25813</v>
      </c>
      <c r="F247" s="16"/>
      <c r="G247" s="16"/>
      <c r="H247" s="18"/>
    </row>
    <row r="248" spans="3:8" x14ac:dyDescent="0.25">
      <c r="C248" s="17">
        <v>35109</v>
      </c>
      <c r="D248" s="16">
        <v>24894</v>
      </c>
      <c r="E248" s="16">
        <v>31573</v>
      </c>
      <c r="F248" s="16"/>
      <c r="G248" s="16"/>
      <c r="H248" s="18"/>
    </row>
    <row r="249" spans="3:8" x14ac:dyDescent="0.25">
      <c r="C249" s="17">
        <v>48037</v>
      </c>
      <c r="D249" s="16">
        <v>21913</v>
      </c>
      <c r="E249" s="16"/>
      <c r="F249" s="16"/>
      <c r="G249" s="16"/>
      <c r="H249" s="18"/>
    </row>
    <row r="250" spans="3:8" x14ac:dyDescent="0.25">
      <c r="C250" s="17">
        <v>34578</v>
      </c>
      <c r="D250" s="16">
        <v>6773</v>
      </c>
      <c r="E250" s="16"/>
      <c r="F250" s="16"/>
      <c r="G250" s="16"/>
      <c r="H250" s="18"/>
    </row>
    <row r="251" spans="3:8" x14ac:dyDescent="0.25">
      <c r="C251" s="17">
        <v>68365</v>
      </c>
      <c r="D251" s="16">
        <v>105528</v>
      </c>
      <c r="E251" s="16"/>
      <c r="F251" s="16"/>
      <c r="G251" s="16"/>
      <c r="H251" s="18"/>
    </row>
    <row r="252" spans="3:8" x14ac:dyDescent="0.25">
      <c r="C252" s="17">
        <v>34718</v>
      </c>
      <c r="D252" s="16">
        <v>4278</v>
      </c>
      <c r="E252" s="16"/>
      <c r="F252" s="16"/>
      <c r="G252" s="16"/>
      <c r="H252" s="18"/>
    </row>
    <row r="253" spans="3:8" x14ac:dyDescent="0.25">
      <c r="C253" s="17">
        <v>159426</v>
      </c>
      <c r="D253" s="16">
        <v>21425</v>
      </c>
      <c r="E253" s="16"/>
      <c r="F253" s="16"/>
      <c r="G253" s="16"/>
      <c r="H253" s="18"/>
    </row>
    <row r="254" spans="3:8" x14ac:dyDescent="0.25">
      <c r="C254" s="17">
        <v>25579</v>
      </c>
      <c r="D254" s="16">
        <v>41127</v>
      </c>
      <c r="E254" s="16"/>
      <c r="F254" s="16"/>
      <c r="G254" s="16"/>
      <c r="H254" s="18"/>
    </row>
    <row r="255" spans="3:8" x14ac:dyDescent="0.25">
      <c r="C255" s="17">
        <v>8172</v>
      </c>
      <c r="D255" s="16">
        <v>54193</v>
      </c>
      <c r="E255" s="16"/>
      <c r="F255" s="16"/>
      <c r="G255" s="16"/>
      <c r="H255" s="18"/>
    </row>
    <row r="256" spans="3:8" x14ac:dyDescent="0.25">
      <c r="C256" s="17">
        <v>8034</v>
      </c>
      <c r="D256" s="16">
        <v>99314</v>
      </c>
      <c r="E256" s="16"/>
      <c r="F256" s="16"/>
      <c r="G256" s="16"/>
      <c r="H256" s="18"/>
    </row>
    <row r="257" spans="3:8" x14ac:dyDescent="0.25">
      <c r="C257" s="17">
        <v>114658</v>
      </c>
      <c r="D257" s="16">
        <v>28485</v>
      </c>
      <c r="E257" s="16"/>
      <c r="F257" s="16"/>
      <c r="G257" s="16"/>
      <c r="H257" s="18"/>
    </row>
    <row r="258" spans="3:8" x14ac:dyDescent="0.25">
      <c r="C258" s="17">
        <v>33476</v>
      </c>
      <c r="D258" s="16">
        <v>111253</v>
      </c>
      <c r="E258" s="16"/>
      <c r="F258" s="16"/>
      <c r="G258" s="16"/>
      <c r="H258" s="18"/>
    </row>
    <row r="259" spans="3:8" x14ac:dyDescent="0.25">
      <c r="C259" s="17">
        <v>9932</v>
      </c>
      <c r="D259" s="16">
        <v>8985</v>
      </c>
      <c r="E259" s="16"/>
      <c r="F259" s="16"/>
      <c r="G259" s="16"/>
      <c r="H259" s="18"/>
    </row>
    <row r="260" spans="3:8" x14ac:dyDescent="0.25">
      <c r="C260" s="17">
        <v>32393</v>
      </c>
      <c r="D260" s="16">
        <v>20058</v>
      </c>
      <c r="E260" s="16"/>
      <c r="F260" s="16"/>
      <c r="G260" s="16"/>
      <c r="H260" s="18"/>
    </row>
    <row r="261" spans="3:8" x14ac:dyDescent="0.25">
      <c r="C261" s="17">
        <v>44697</v>
      </c>
      <c r="D261" s="16">
        <v>23220</v>
      </c>
      <c r="E261" s="16"/>
      <c r="F261" s="16"/>
      <c r="G261" s="16"/>
      <c r="H261" s="18"/>
    </row>
    <row r="262" spans="3:8" x14ac:dyDescent="0.25">
      <c r="C262" s="17">
        <v>9838</v>
      </c>
      <c r="D262" s="16">
        <v>11157</v>
      </c>
      <c r="E262" s="16"/>
      <c r="F262" s="16"/>
      <c r="G262" s="16"/>
      <c r="H262" s="18"/>
    </row>
    <row r="263" spans="3:8" x14ac:dyDescent="0.25">
      <c r="C263" s="17">
        <v>4116</v>
      </c>
      <c r="D263" s="16">
        <v>28886</v>
      </c>
      <c r="E263" s="16"/>
      <c r="F263" s="16"/>
      <c r="G263" s="16"/>
      <c r="H263" s="18"/>
    </row>
    <row r="264" spans="3:8" x14ac:dyDescent="0.25">
      <c r="C264" s="17">
        <v>27310</v>
      </c>
      <c r="D264" s="16">
        <v>122426</v>
      </c>
      <c r="E264" s="16"/>
      <c r="F264" s="16"/>
      <c r="G264" s="16"/>
      <c r="H264" s="18"/>
    </row>
    <row r="265" spans="3:8" x14ac:dyDescent="0.25">
      <c r="C265" s="17">
        <v>6235</v>
      </c>
      <c r="D265" s="16">
        <v>17614</v>
      </c>
      <c r="E265" s="16"/>
      <c r="F265" s="16"/>
      <c r="G265" s="16"/>
      <c r="H265" s="18"/>
    </row>
    <row r="266" spans="3:8" x14ac:dyDescent="0.25">
      <c r="C266" s="17">
        <v>5321</v>
      </c>
      <c r="D266" s="16">
        <v>35875</v>
      </c>
      <c r="E266" s="16"/>
      <c r="F266" s="16"/>
      <c r="G266" s="16"/>
      <c r="H266" s="18"/>
    </row>
    <row r="267" spans="3:8" x14ac:dyDescent="0.25">
      <c r="C267" s="17">
        <v>9403</v>
      </c>
      <c r="D267" s="16">
        <v>27322</v>
      </c>
      <c r="E267" s="16"/>
      <c r="F267" s="16"/>
      <c r="G267" s="16"/>
      <c r="H267" s="18"/>
    </row>
    <row r="268" spans="3:8" x14ac:dyDescent="0.25">
      <c r="C268" s="17">
        <v>30557</v>
      </c>
      <c r="D268" s="16">
        <v>99679</v>
      </c>
      <c r="E268" s="16"/>
      <c r="F268" s="16"/>
      <c r="G268" s="16"/>
      <c r="H268" s="18"/>
    </row>
    <row r="269" spans="3:8" x14ac:dyDescent="0.25">
      <c r="C269" s="17">
        <v>4162</v>
      </c>
      <c r="D269" s="16">
        <v>11407</v>
      </c>
      <c r="E269" s="16"/>
      <c r="F269" s="16"/>
      <c r="G269" s="16"/>
      <c r="H269" s="18"/>
    </row>
    <row r="270" spans="3:8" x14ac:dyDescent="0.25">
      <c r="C270" s="17">
        <v>8016</v>
      </c>
      <c r="D270" s="16">
        <v>21378</v>
      </c>
      <c r="E270" s="16"/>
      <c r="F270" s="16"/>
      <c r="G270" s="16"/>
      <c r="H270" s="18"/>
    </row>
    <row r="271" spans="3:8" x14ac:dyDescent="0.25">
      <c r="C271" s="17">
        <v>4099</v>
      </c>
      <c r="D271" s="16">
        <v>11136</v>
      </c>
      <c r="E271" s="16"/>
      <c r="F271" s="16"/>
      <c r="G271" s="16"/>
      <c r="H271" s="18"/>
    </row>
    <row r="272" spans="3:8" x14ac:dyDescent="0.25">
      <c r="C272" s="17">
        <v>3107</v>
      </c>
      <c r="D272" s="16">
        <v>14640</v>
      </c>
      <c r="E272" s="16"/>
      <c r="F272" s="16"/>
      <c r="G272" s="16"/>
      <c r="H272" s="18"/>
    </row>
    <row r="273" spans="3:8" x14ac:dyDescent="0.25">
      <c r="C273" s="17">
        <v>34089</v>
      </c>
      <c r="D273" s="16">
        <v>10191</v>
      </c>
      <c r="E273" s="16"/>
      <c r="F273" s="16"/>
      <c r="G273" s="16"/>
      <c r="H273" s="18"/>
    </row>
    <row r="274" spans="3:8" x14ac:dyDescent="0.25">
      <c r="C274" s="17">
        <v>29606</v>
      </c>
      <c r="D274" s="16">
        <v>24372</v>
      </c>
      <c r="E274" s="16"/>
      <c r="F274" s="16"/>
      <c r="G274" s="16"/>
      <c r="H274" s="18"/>
    </row>
    <row r="275" spans="3:8" x14ac:dyDescent="0.25">
      <c r="C275" s="17">
        <v>14273</v>
      </c>
      <c r="D275" s="16">
        <v>8068</v>
      </c>
      <c r="E275" s="16"/>
      <c r="F275" s="16"/>
      <c r="G275" s="16"/>
      <c r="H275" s="18"/>
    </row>
    <row r="276" spans="3:8" x14ac:dyDescent="0.25">
      <c r="C276" s="17">
        <v>4083</v>
      </c>
      <c r="D276" s="16">
        <v>8679</v>
      </c>
      <c r="E276" s="16"/>
      <c r="F276" s="16"/>
      <c r="G276" s="16"/>
      <c r="H276" s="18"/>
    </row>
    <row r="277" spans="3:8" x14ac:dyDescent="0.25">
      <c r="C277" s="17">
        <v>22935</v>
      </c>
      <c r="D277" s="16">
        <v>7260</v>
      </c>
      <c r="E277" s="16"/>
      <c r="F277" s="16"/>
      <c r="G277" s="16"/>
      <c r="H277" s="18"/>
    </row>
    <row r="278" spans="3:8" x14ac:dyDescent="0.25">
      <c r="C278" s="17">
        <v>27676</v>
      </c>
      <c r="D278" s="16">
        <v>28781</v>
      </c>
      <c r="E278" s="16"/>
      <c r="F278" s="16"/>
      <c r="G278" s="16"/>
      <c r="H278" s="18"/>
    </row>
    <row r="279" spans="3:8" x14ac:dyDescent="0.25">
      <c r="C279" s="17">
        <v>43672</v>
      </c>
      <c r="D279" s="16">
        <v>27019</v>
      </c>
      <c r="E279" s="16"/>
      <c r="F279" s="16"/>
      <c r="G279" s="16"/>
      <c r="H279" s="18"/>
    </row>
    <row r="280" spans="3:8" x14ac:dyDescent="0.25">
      <c r="C280" s="17">
        <v>23209</v>
      </c>
      <c r="D280" s="16">
        <v>95707</v>
      </c>
      <c r="E280" s="16"/>
      <c r="F280" s="16"/>
      <c r="G280" s="16"/>
      <c r="H280" s="18"/>
    </row>
    <row r="281" spans="3:8" x14ac:dyDescent="0.25">
      <c r="C281" s="17">
        <v>8897</v>
      </c>
      <c r="D281" s="16">
        <v>47259</v>
      </c>
      <c r="E281" s="16"/>
      <c r="F281" s="16"/>
      <c r="G281" s="16"/>
      <c r="H281" s="18"/>
    </row>
    <row r="282" spans="3:8" x14ac:dyDescent="0.25">
      <c r="C282" s="17">
        <v>64197</v>
      </c>
      <c r="D282" s="16">
        <v>102260</v>
      </c>
      <c r="E282" s="16"/>
      <c r="F282" s="16"/>
      <c r="G282" s="16"/>
      <c r="H282" s="18"/>
    </row>
    <row r="283" spans="3:8" x14ac:dyDescent="0.25">
      <c r="C283" s="17">
        <v>5519</v>
      </c>
      <c r="D283" s="16">
        <v>35896</v>
      </c>
      <c r="E283" s="16"/>
      <c r="F283" s="16"/>
      <c r="G283" s="16"/>
      <c r="H283" s="18"/>
    </row>
    <row r="284" spans="3:8" x14ac:dyDescent="0.25">
      <c r="C284" s="17">
        <v>4700</v>
      </c>
      <c r="D284" s="16">
        <v>19059</v>
      </c>
      <c r="E284" s="16"/>
      <c r="F284" s="16"/>
      <c r="G284" s="16"/>
      <c r="H284" s="18"/>
    </row>
    <row r="285" spans="3:8" x14ac:dyDescent="0.25">
      <c r="C285" s="17">
        <v>29145</v>
      </c>
      <c r="D285" s="16">
        <v>22620</v>
      </c>
      <c r="E285" s="16"/>
      <c r="F285" s="16"/>
      <c r="G285" s="16"/>
      <c r="H285" s="18"/>
    </row>
    <row r="286" spans="3:8" x14ac:dyDescent="0.25">
      <c r="C286" s="17">
        <v>86100</v>
      </c>
      <c r="D286" s="16">
        <v>26980</v>
      </c>
      <c r="E286" s="16"/>
      <c r="F286" s="16"/>
      <c r="G286" s="16"/>
      <c r="H286" s="18"/>
    </row>
    <row r="287" spans="3:8" x14ac:dyDescent="0.25">
      <c r="C287" s="17">
        <v>26784</v>
      </c>
      <c r="D287" s="16">
        <v>14076</v>
      </c>
      <c r="E287" s="16"/>
      <c r="F287" s="16"/>
      <c r="G287" s="16"/>
      <c r="H287" s="18"/>
    </row>
    <row r="288" spans="3:8" x14ac:dyDescent="0.25">
      <c r="C288" s="17">
        <v>86545</v>
      </c>
      <c r="D288" s="16">
        <v>19318</v>
      </c>
      <c r="E288" s="16"/>
      <c r="F288" s="16"/>
      <c r="G288" s="16"/>
      <c r="H288" s="18"/>
    </row>
    <row r="289" spans="3:8" x14ac:dyDescent="0.25">
      <c r="C289" s="17">
        <v>30324</v>
      </c>
      <c r="D289" s="16">
        <v>47408</v>
      </c>
      <c r="E289" s="16"/>
      <c r="F289" s="16"/>
      <c r="G289" s="16"/>
      <c r="H289" s="18"/>
    </row>
    <row r="290" spans="3:8" x14ac:dyDescent="0.25">
      <c r="C290" s="17">
        <v>9341</v>
      </c>
      <c r="D290" s="16">
        <v>17884</v>
      </c>
      <c r="E290" s="16"/>
      <c r="F290" s="16"/>
      <c r="G290" s="16"/>
      <c r="H290" s="18"/>
    </row>
    <row r="291" spans="3:8" x14ac:dyDescent="0.25">
      <c r="C291" s="17">
        <v>28415</v>
      </c>
      <c r="D291" s="16">
        <v>15281</v>
      </c>
      <c r="E291" s="16"/>
      <c r="F291" s="16"/>
      <c r="G291" s="16"/>
      <c r="H291" s="18"/>
    </row>
    <row r="292" spans="3:8" x14ac:dyDescent="0.25">
      <c r="C292" s="17">
        <v>107459</v>
      </c>
      <c r="D292" s="16">
        <v>42947</v>
      </c>
      <c r="E292" s="16"/>
      <c r="F292" s="16"/>
      <c r="G292" s="16"/>
      <c r="H292" s="18"/>
    </row>
    <row r="293" spans="3:8" x14ac:dyDescent="0.25">
      <c r="C293" s="17">
        <v>4945</v>
      </c>
      <c r="D293" s="16">
        <v>59719</v>
      </c>
      <c r="E293" s="16"/>
      <c r="F293" s="16"/>
      <c r="G293" s="16"/>
      <c r="H293" s="18"/>
    </row>
    <row r="294" spans="3:8" x14ac:dyDescent="0.25">
      <c r="C294" s="17">
        <v>8417</v>
      </c>
      <c r="D294" s="16">
        <v>16242</v>
      </c>
      <c r="E294" s="16"/>
      <c r="F294" s="16"/>
      <c r="G294" s="16"/>
      <c r="H294" s="18"/>
    </row>
    <row r="295" spans="3:8" x14ac:dyDescent="0.25">
      <c r="C295" s="17">
        <v>36027</v>
      </c>
      <c r="D295" s="16">
        <v>19127</v>
      </c>
      <c r="E295" s="16"/>
      <c r="F295" s="16"/>
      <c r="G295" s="16"/>
      <c r="H295" s="18"/>
    </row>
    <row r="296" spans="3:8" x14ac:dyDescent="0.25">
      <c r="C296" s="17">
        <v>50373</v>
      </c>
      <c r="D296" s="16">
        <v>23618</v>
      </c>
      <c r="E296" s="16"/>
      <c r="F296" s="16"/>
      <c r="G296" s="16"/>
      <c r="H296" s="18"/>
    </row>
    <row r="297" spans="3:8" x14ac:dyDescent="0.25">
      <c r="C297" s="17">
        <v>32860</v>
      </c>
      <c r="D297" s="16">
        <v>45821</v>
      </c>
      <c r="E297" s="16"/>
      <c r="F297" s="16"/>
      <c r="G297" s="16"/>
      <c r="H297" s="18"/>
    </row>
    <row r="298" spans="3:8" x14ac:dyDescent="0.25">
      <c r="C298" s="17">
        <v>4281</v>
      </c>
      <c r="D298" s="16">
        <v>54428</v>
      </c>
      <c r="E298" s="16"/>
      <c r="F298" s="16"/>
      <c r="G298" s="16"/>
      <c r="H298" s="18"/>
    </row>
    <row r="299" spans="3:8" x14ac:dyDescent="0.25">
      <c r="C299" s="17">
        <v>31077</v>
      </c>
      <c r="D299" s="16">
        <v>34314</v>
      </c>
      <c r="E299" s="16"/>
      <c r="F299" s="16"/>
      <c r="G299" s="16"/>
      <c r="H299" s="18"/>
    </row>
    <row r="300" spans="3:8" x14ac:dyDescent="0.25">
      <c r="C300" s="17">
        <v>20702</v>
      </c>
      <c r="D300" s="16">
        <v>32548</v>
      </c>
      <c r="E300" s="16"/>
      <c r="F300" s="16"/>
      <c r="G300" s="16"/>
      <c r="H300" s="18"/>
    </row>
    <row r="301" spans="3:8" x14ac:dyDescent="0.25">
      <c r="C301" s="17">
        <v>30611</v>
      </c>
      <c r="D301" s="16">
        <v>15984</v>
      </c>
      <c r="E301" s="16"/>
      <c r="F301" s="16"/>
      <c r="G301" s="16"/>
      <c r="H301" s="18"/>
    </row>
    <row r="302" spans="3:8" x14ac:dyDescent="0.25">
      <c r="C302" s="17">
        <v>2841</v>
      </c>
      <c r="D302" s="16">
        <v>24910</v>
      </c>
      <c r="E302" s="16"/>
      <c r="F302" s="16"/>
      <c r="G302" s="16"/>
      <c r="H302" s="18"/>
    </row>
    <row r="303" spans="3:8" x14ac:dyDescent="0.25">
      <c r="C303" s="17">
        <v>67595</v>
      </c>
      <c r="D303" s="16">
        <v>12791</v>
      </c>
      <c r="E303" s="16"/>
      <c r="F303" s="16"/>
      <c r="G303" s="16"/>
      <c r="H303" s="18"/>
    </row>
    <row r="304" spans="3:8" x14ac:dyDescent="0.25">
      <c r="C304" s="17">
        <v>114276</v>
      </c>
      <c r="D304" s="16">
        <v>50742</v>
      </c>
      <c r="E304" s="16"/>
      <c r="F304" s="16"/>
      <c r="G304" s="16"/>
      <c r="H304" s="18"/>
    </row>
    <row r="305" spans="3:8" x14ac:dyDescent="0.25">
      <c r="C305" s="17">
        <v>9859</v>
      </c>
      <c r="D305" s="16">
        <v>30868</v>
      </c>
      <c r="E305" s="16"/>
      <c r="F305" s="16"/>
      <c r="G305" s="16"/>
      <c r="H305" s="18"/>
    </row>
    <row r="306" spans="3:8" x14ac:dyDescent="0.25">
      <c r="C306" s="17">
        <v>10999</v>
      </c>
      <c r="D306" s="16">
        <v>13433</v>
      </c>
      <c r="E306" s="16"/>
      <c r="F306" s="16"/>
      <c r="G306" s="16"/>
      <c r="H306" s="18"/>
    </row>
    <row r="307" spans="3:8" x14ac:dyDescent="0.25">
      <c r="C307" s="17">
        <v>15463</v>
      </c>
      <c r="D307" s="16">
        <v>9890</v>
      </c>
      <c r="E307" s="16"/>
      <c r="F307" s="16"/>
      <c r="G307" s="16"/>
      <c r="H307" s="18"/>
    </row>
    <row r="308" spans="3:8" x14ac:dyDescent="0.25">
      <c r="C308" s="17">
        <v>18057</v>
      </c>
      <c r="D308" s="16">
        <v>104154</v>
      </c>
      <c r="E308" s="16"/>
      <c r="F308" s="16"/>
      <c r="G308" s="16"/>
      <c r="H308" s="18"/>
    </row>
    <row r="309" spans="3:8" x14ac:dyDescent="0.25">
      <c r="C309" s="17">
        <v>3106</v>
      </c>
      <c r="D309" s="16">
        <v>11796</v>
      </c>
      <c r="E309" s="16"/>
      <c r="F309" s="16"/>
      <c r="G309" s="16"/>
      <c r="H309" s="18"/>
    </row>
    <row r="310" spans="3:8" x14ac:dyDescent="0.25">
      <c r="C310" s="17">
        <v>24659</v>
      </c>
      <c r="D310" s="16">
        <v>17146</v>
      </c>
      <c r="E310" s="16"/>
      <c r="F310" s="16"/>
      <c r="G310" s="16"/>
      <c r="H310" s="18"/>
    </row>
    <row r="311" spans="3:8" x14ac:dyDescent="0.25">
      <c r="C311" s="17">
        <v>13597</v>
      </c>
      <c r="D311" s="16">
        <v>11989</v>
      </c>
      <c r="E311" s="16"/>
      <c r="F311" s="16"/>
      <c r="G311" s="16"/>
      <c r="H311" s="18"/>
    </row>
    <row r="312" spans="3:8" x14ac:dyDescent="0.25">
      <c r="C312" s="17">
        <v>5260</v>
      </c>
      <c r="D312" s="16">
        <v>8096</v>
      </c>
      <c r="E312" s="16"/>
      <c r="F312" s="16"/>
      <c r="G312" s="16"/>
      <c r="H312" s="18"/>
    </row>
    <row r="313" spans="3:8" x14ac:dyDescent="0.25">
      <c r="C313" s="17">
        <v>5882</v>
      </c>
      <c r="D313" s="16">
        <v>94019</v>
      </c>
      <c r="E313" s="16"/>
      <c r="F313" s="16"/>
      <c r="G313" s="16"/>
      <c r="H313" s="18"/>
    </row>
    <row r="314" spans="3:8" x14ac:dyDescent="0.25">
      <c r="C314" s="17">
        <v>8003</v>
      </c>
      <c r="D314" s="16">
        <v>28265</v>
      </c>
      <c r="E314" s="16"/>
      <c r="F314" s="16"/>
      <c r="G314" s="16"/>
      <c r="H314" s="18"/>
    </row>
    <row r="315" spans="3:8" x14ac:dyDescent="0.25">
      <c r="C315" s="17">
        <v>27441</v>
      </c>
      <c r="D315" s="16">
        <v>8193</v>
      </c>
      <c r="E315" s="16"/>
      <c r="F315" s="16"/>
      <c r="G315" s="16"/>
      <c r="H315" s="18"/>
    </row>
    <row r="316" spans="3:8" x14ac:dyDescent="0.25">
      <c r="C316" s="17">
        <v>5051</v>
      </c>
      <c r="D316" s="16">
        <v>16925</v>
      </c>
      <c r="E316" s="16"/>
      <c r="F316" s="16"/>
      <c r="G316" s="16"/>
      <c r="H316" s="18"/>
    </row>
    <row r="317" spans="3:8" x14ac:dyDescent="0.25">
      <c r="C317" s="17">
        <v>23854</v>
      </c>
      <c r="D317" s="16">
        <v>18344</v>
      </c>
      <c r="E317" s="16"/>
      <c r="F317" s="16"/>
      <c r="G317" s="16"/>
      <c r="H317" s="18"/>
    </row>
    <row r="318" spans="3:8" x14ac:dyDescent="0.25">
      <c r="C318" s="17">
        <v>23761</v>
      </c>
      <c r="D318" s="16">
        <v>8231</v>
      </c>
      <c r="E318" s="16"/>
      <c r="F318" s="16"/>
      <c r="G318" s="16"/>
      <c r="H318" s="18"/>
    </row>
    <row r="319" spans="3:8" x14ac:dyDescent="0.25">
      <c r="C319" s="17">
        <v>111001</v>
      </c>
      <c r="D319" s="16">
        <v>11868</v>
      </c>
      <c r="E319" s="16"/>
      <c r="F319" s="16"/>
      <c r="G319" s="16"/>
      <c r="H319" s="18"/>
    </row>
    <row r="320" spans="3:8" x14ac:dyDescent="0.25">
      <c r="C320" s="17">
        <v>13673</v>
      </c>
      <c r="D320" s="16">
        <v>56155</v>
      </c>
      <c r="E320" s="16"/>
      <c r="F320" s="16"/>
      <c r="G320" s="16"/>
      <c r="H320" s="18"/>
    </row>
    <row r="321" spans="3:8" x14ac:dyDescent="0.25">
      <c r="C321" s="17">
        <v>4961</v>
      </c>
      <c r="D321" s="16">
        <v>4301</v>
      </c>
      <c r="E321" s="16"/>
      <c r="F321" s="16"/>
      <c r="G321" s="16"/>
      <c r="H321" s="18"/>
    </row>
    <row r="322" spans="3:8" x14ac:dyDescent="0.25">
      <c r="C322" s="17">
        <v>6144</v>
      </c>
      <c r="D322" s="16">
        <v>118510</v>
      </c>
      <c r="E322" s="16"/>
      <c r="F322" s="16"/>
      <c r="G322" s="16"/>
      <c r="H322" s="18"/>
    </row>
    <row r="323" spans="3:8" x14ac:dyDescent="0.25">
      <c r="C323" s="17">
        <v>30367</v>
      </c>
      <c r="D323" s="16">
        <v>13681</v>
      </c>
      <c r="E323" s="16"/>
      <c r="F323" s="16"/>
      <c r="G323" s="16"/>
      <c r="H323" s="18"/>
    </row>
    <row r="324" spans="3:8" x14ac:dyDescent="0.25">
      <c r="C324" s="17">
        <v>30579</v>
      </c>
      <c r="D324" s="16">
        <v>17869</v>
      </c>
      <c r="E324" s="16"/>
      <c r="F324" s="16"/>
      <c r="G324" s="16"/>
      <c r="H324" s="18"/>
    </row>
    <row r="325" spans="3:8" x14ac:dyDescent="0.25">
      <c r="C325" s="17">
        <v>24689</v>
      </c>
      <c r="D325" s="16">
        <v>4912</v>
      </c>
      <c r="E325" s="16"/>
      <c r="F325" s="16"/>
      <c r="G325" s="16"/>
      <c r="H325" s="18"/>
    </row>
    <row r="326" spans="3:8" x14ac:dyDescent="0.25">
      <c r="C326" s="17">
        <v>32448</v>
      </c>
      <c r="D326" s="16">
        <v>6777</v>
      </c>
      <c r="E326" s="16"/>
      <c r="F326" s="16"/>
      <c r="G326" s="16"/>
      <c r="H326" s="18"/>
    </row>
    <row r="327" spans="3:8" x14ac:dyDescent="0.25">
      <c r="C327" s="17">
        <v>3158</v>
      </c>
      <c r="D327" s="16">
        <v>8022</v>
      </c>
      <c r="E327" s="16"/>
      <c r="F327" s="16"/>
      <c r="G327" s="16"/>
      <c r="H327" s="18"/>
    </row>
    <row r="328" spans="3:8" x14ac:dyDescent="0.25">
      <c r="C328" s="17">
        <v>5544</v>
      </c>
      <c r="D328" s="16">
        <v>17352</v>
      </c>
      <c r="E328" s="16"/>
      <c r="F328" s="16"/>
      <c r="G328" s="16"/>
      <c r="H328" s="18"/>
    </row>
    <row r="329" spans="3:8" x14ac:dyDescent="0.25">
      <c r="C329" s="17">
        <v>101048</v>
      </c>
      <c r="D329" s="16">
        <v>11341</v>
      </c>
      <c r="E329" s="16"/>
      <c r="F329" s="16"/>
      <c r="G329" s="16"/>
      <c r="H329" s="18"/>
    </row>
    <row r="330" spans="3:8" x14ac:dyDescent="0.25">
      <c r="C330" s="17">
        <v>45616</v>
      </c>
      <c r="D330" s="16">
        <v>28181</v>
      </c>
      <c r="E330" s="16"/>
      <c r="F330" s="16"/>
      <c r="G330" s="16"/>
      <c r="H330" s="18"/>
    </row>
    <row r="331" spans="3:8" x14ac:dyDescent="0.25">
      <c r="C331" s="17">
        <v>108136</v>
      </c>
      <c r="D331" s="16">
        <v>10600</v>
      </c>
      <c r="E331" s="16"/>
      <c r="F331" s="16"/>
      <c r="G331" s="16"/>
      <c r="H331" s="18"/>
    </row>
    <row r="332" spans="3:8" x14ac:dyDescent="0.25">
      <c r="C332" s="17">
        <v>9395</v>
      </c>
      <c r="D332" s="16">
        <v>23445</v>
      </c>
      <c r="E332" s="16"/>
      <c r="F332" s="16"/>
      <c r="G332" s="16"/>
      <c r="H332" s="18"/>
    </row>
    <row r="333" spans="3:8" x14ac:dyDescent="0.25">
      <c r="C333" s="17">
        <v>22068</v>
      </c>
      <c r="D333" s="16"/>
      <c r="E333" s="16"/>
      <c r="F333" s="16"/>
      <c r="G333" s="16"/>
      <c r="H333" s="18"/>
    </row>
    <row r="334" spans="3:8" x14ac:dyDescent="0.25">
      <c r="C334" s="17">
        <v>4068</v>
      </c>
      <c r="D334" s="16"/>
      <c r="E334" s="16"/>
      <c r="F334" s="16"/>
      <c r="G334" s="16"/>
      <c r="H334" s="18"/>
    </row>
    <row r="335" spans="3:8" x14ac:dyDescent="0.25">
      <c r="C335" s="17">
        <v>7656</v>
      </c>
      <c r="D335" s="16"/>
      <c r="E335" s="16"/>
      <c r="F335" s="16"/>
      <c r="G335" s="16"/>
      <c r="H335" s="18"/>
    </row>
    <row r="336" spans="3:8" x14ac:dyDescent="0.25">
      <c r="C336" s="17">
        <v>48848</v>
      </c>
      <c r="D336" s="16"/>
      <c r="E336" s="16"/>
      <c r="F336" s="16"/>
      <c r="G336" s="16"/>
      <c r="H336" s="18"/>
    </row>
    <row r="337" spans="3:8" x14ac:dyDescent="0.25">
      <c r="C337" s="17">
        <v>4766</v>
      </c>
      <c r="D337" s="16"/>
      <c r="E337" s="16"/>
      <c r="F337" s="16"/>
      <c r="G337" s="16"/>
      <c r="H337" s="18"/>
    </row>
    <row r="338" spans="3:8" x14ac:dyDescent="0.25">
      <c r="C338" s="17">
        <v>35526</v>
      </c>
      <c r="D338" s="16"/>
      <c r="E338" s="16"/>
      <c r="F338" s="16"/>
      <c r="G338" s="16"/>
      <c r="H338" s="18"/>
    </row>
    <row r="339" spans="3:8" x14ac:dyDescent="0.25">
      <c r="C339" s="17">
        <v>29584</v>
      </c>
      <c r="D339" s="16"/>
      <c r="E339" s="16"/>
      <c r="F339" s="16"/>
      <c r="G339" s="16"/>
      <c r="H339" s="18"/>
    </row>
    <row r="340" spans="3:8" x14ac:dyDescent="0.25">
      <c r="C340" s="17">
        <v>57664</v>
      </c>
      <c r="D340" s="16"/>
      <c r="E340" s="16"/>
      <c r="F340" s="16"/>
      <c r="G340" s="16"/>
      <c r="H340" s="18"/>
    </row>
    <row r="341" spans="3:8" x14ac:dyDescent="0.25">
      <c r="C341" s="17">
        <v>90769</v>
      </c>
      <c r="D341" s="16"/>
      <c r="E341" s="16"/>
      <c r="F341" s="16"/>
      <c r="G341" s="16"/>
      <c r="H341" s="18"/>
    </row>
    <row r="342" spans="3:8" x14ac:dyDescent="0.25">
      <c r="C342" s="17">
        <v>7677</v>
      </c>
      <c r="D342" s="16"/>
      <c r="E342" s="16"/>
      <c r="F342" s="16"/>
      <c r="G342" s="16"/>
      <c r="H342" s="18"/>
    </row>
    <row r="343" spans="3:8" x14ac:dyDescent="0.25">
      <c r="C343" s="17">
        <v>29607</v>
      </c>
      <c r="D343" s="16"/>
      <c r="E343" s="16"/>
      <c r="F343" s="16"/>
      <c r="G343" s="16"/>
      <c r="H343" s="18"/>
    </row>
    <row r="344" spans="3:8" x14ac:dyDescent="0.25">
      <c r="C344" s="17">
        <v>35798</v>
      </c>
      <c r="D344" s="16"/>
      <c r="E344" s="16"/>
      <c r="F344" s="16"/>
      <c r="G344" s="16"/>
      <c r="H344" s="18"/>
    </row>
    <row r="345" spans="3:8" x14ac:dyDescent="0.25">
      <c r="C345" s="17">
        <v>31993</v>
      </c>
      <c r="D345" s="16"/>
      <c r="E345" s="16"/>
      <c r="F345" s="16"/>
      <c r="G345" s="16"/>
      <c r="H345" s="18"/>
    </row>
    <row r="346" spans="3:8" x14ac:dyDescent="0.25">
      <c r="C346" s="17">
        <v>44371</v>
      </c>
      <c r="D346" s="16"/>
      <c r="E346" s="16"/>
      <c r="F346" s="16"/>
      <c r="G346" s="16"/>
      <c r="H346" s="18"/>
    </row>
    <row r="347" spans="3:8" x14ac:dyDescent="0.25">
      <c r="C347" s="17">
        <v>18621</v>
      </c>
      <c r="D347" s="16"/>
      <c r="E347" s="16"/>
      <c r="F347" s="16"/>
      <c r="G347" s="16"/>
      <c r="H347" s="18"/>
    </row>
    <row r="348" spans="3:8" x14ac:dyDescent="0.25">
      <c r="C348" s="17">
        <v>24675</v>
      </c>
      <c r="D348" s="16"/>
      <c r="E348" s="16"/>
      <c r="F348" s="16"/>
      <c r="G348" s="16"/>
      <c r="H348" s="18"/>
    </row>
    <row r="349" spans="3:8" x14ac:dyDescent="0.25">
      <c r="C349" s="17">
        <v>2867</v>
      </c>
      <c r="D349" s="16"/>
      <c r="E349" s="16"/>
      <c r="F349" s="16"/>
      <c r="G349" s="16"/>
      <c r="H349" s="18"/>
    </row>
    <row r="350" spans="3:8" x14ac:dyDescent="0.25">
      <c r="C350" s="17">
        <v>31853</v>
      </c>
      <c r="D350" s="16"/>
      <c r="E350" s="16"/>
      <c r="F350" s="16"/>
      <c r="G350" s="16"/>
      <c r="H350" s="18"/>
    </row>
    <row r="351" spans="3:8" x14ac:dyDescent="0.25">
      <c r="C351" s="17">
        <v>4793</v>
      </c>
      <c r="D351" s="16"/>
      <c r="E351" s="16"/>
      <c r="F351" s="16"/>
      <c r="G351" s="16"/>
      <c r="H351" s="18"/>
    </row>
    <row r="352" spans="3:8" x14ac:dyDescent="0.25">
      <c r="C352" s="17">
        <v>33645</v>
      </c>
      <c r="D352" s="16"/>
      <c r="E352" s="16"/>
      <c r="F352" s="16"/>
      <c r="G352" s="16"/>
      <c r="H352" s="18"/>
    </row>
    <row r="353" spans="3:8" x14ac:dyDescent="0.25">
      <c r="C353" s="17">
        <v>14156</v>
      </c>
      <c r="D353" s="16"/>
      <c r="E353" s="16"/>
      <c r="F353" s="16"/>
      <c r="G353" s="16"/>
      <c r="H353" s="18"/>
    </row>
    <row r="354" spans="3:8" x14ac:dyDescent="0.25">
      <c r="C354" s="17">
        <v>3131</v>
      </c>
      <c r="D354" s="16"/>
      <c r="E354" s="16"/>
      <c r="F354" s="16"/>
      <c r="G354" s="16"/>
      <c r="H354" s="18"/>
    </row>
    <row r="355" spans="3:8" x14ac:dyDescent="0.25">
      <c r="C355" s="17">
        <v>6830</v>
      </c>
      <c r="D355" s="16"/>
      <c r="E355" s="16"/>
      <c r="F355" s="16"/>
      <c r="G355" s="16"/>
      <c r="H355" s="18"/>
    </row>
    <row r="356" spans="3:8" x14ac:dyDescent="0.25">
      <c r="C356" s="17">
        <v>52990</v>
      </c>
      <c r="D356" s="16"/>
      <c r="E356" s="16"/>
      <c r="F356" s="16"/>
      <c r="G356" s="16"/>
      <c r="H356" s="18"/>
    </row>
    <row r="357" spans="3:8" x14ac:dyDescent="0.25">
      <c r="C357" s="17">
        <v>45777</v>
      </c>
      <c r="D357" s="16"/>
      <c r="E357" s="16"/>
      <c r="F357" s="16"/>
      <c r="G357" s="16"/>
      <c r="H357" s="18"/>
    </row>
    <row r="358" spans="3:8" x14ac:dyDescent="0.25">
      <c r="C358" s="17">
        <v>29620</v>
      </c>
      <c r="D358" s="16"/>
      <c r="E358" s="16"/>
      <c r="F358" s="16"/>
      <c r="G358" s="16"/>
      <c r="H358" s="18"/>
    </row>
    <row r="359" spans="3:8" x14ac:dyDescent="0.25">
      <c r="C359" s="17">
        <v>44761</v>
      </c>
      <c r="D359" s="16"/>
      <c r="E359" s="16"/>
      <c r="F359" s="16"/>
      <c r="G359" s="16"/>
      <c r="H359" s="18"/>
    </row>
    <row r="360" spans="3:8" x14ac:dyDescent="0.25">
      <c r="C360" s="17">
        <v>35785</v>
      </c>
      <c r="D360" s="16"/>
      <c r="E360" s="16"/>
      <c r="F360" s="16"/>
      <c r="G360" s="16"/>
      <c r="H360" s="18"/>
    </row>
    <row r="361" spans="3:8" x14ac:dyDescent="0.25">
      <c r="C361" s="17">
        <v>96982</v>
      </c>
      <c r="D361" s="16"/>
      <c r="E361" s="16"/>
      <c r="F361" s="16"/>
      <c r="G361" s="16"/>
      <c r="H361" s="18"/>
    </row>
    <row r="362" spans="3:8" x14ac:dyDescent="0.25">
      <c r="C362" s="17">
        <v>4540</v>
      </c>
      <c r="D362" s="16"/>
      <c r="E362" s="16"/>
      <c r="F362" s="16"/>
      <c r="G362" s="16"/>
      <c r="H362" s="18"/>
    </row>
    <row r="363" spans="3:8" x14ac:dyDescent="0.25">
      <c r="C363" s="17">
        <v>19330</v>
      </c>
      <c r="D363" s="16"/>
      <c r="E363" s="16"/>
      <c r="F363" s="16"/>
      <c r="G363" s="16"/>
      <c r="H363" s="18"/>
    </row>
    <row r="364" spans="3:8" x14ac:dyDescent="0.25">
      <c r="C364" s="17">
        <v>5342</v>
      </c>
      <c r="D364" s="16"/>
      <c r="E364" s="16"/>
      <c r="F364" s="16"/>
      <c r="G364" s="16"/>
      <c r="H364" s="18"/>
    </row>
    <row r="365" spans="3:8" x14ac:dyDescent="0.25">
      <c r="C365" s="17">
        <v>2829</v>
      </c>
      <c r="D365" s="16"/>
      <c r="E365" s="16"/>
      <c r="F365" s="16"/>
      <c r="G365" s="16"/>
      <c r="H365" s="18"/>
    </row>
    <row r="366" spans="3:8" x14ac:dyDescent="0.25">
      <c r="C366" s="17">
        <v>4695</v>
      </c>
      <c r="D366" s="16"/>
      <c r="E366" s="16"/>
      <c r="F366" s="16"/>
      <c r="G366" s="16"/>
      <c r="H366" s="18"/>
    </row>
    <row r="367" spans="3:8" x14ac:dyDescent="0.25">
      <c r="C367" s="17">
        <v>7107</v>
      </c>
      <c r="D367" s="16"/>
      <c r="E367" s="16"/>
      <c r="F367" s="16"/>
      <c r="G367" s="16"/>
      <c r="H367" s="18"/>
    </row>
    <row r="368" spans="3:8" x14ac:dyDescent="0.25">
      <c r="C368" s="17">
        <v>137839</v>
      </c>
      <c r="D368" s="16"/>
      <c r="E368" s="16"/>
      <c r="F368" s="16"/>
      <c r="G368" s="16"/>
      <c r="H368" s="18"/>
    </row>
    <row r="369" spans="3:8" x14ac:dyDescent="0.25">
      <c r="C369" s="17">
        <v>6702</v>
      </c>
      <c r="D369" s="16"/>
      <c r="E369" s="16"/>
      <c r="F369" s="16"/>
      <c r="G369" s="16"/>
      <c r="H369" s="18"/>
    </row>
    <row r="370" spans="3:8" x14ac:dyDescent="0.25">
      <c r="C370" s="17">
        <v>4055</v>
      </c>
      <c r="D370" s="16"/>
      <c r="E370" s="16"/>
      <c r="F370" s="16"/>
      <c r="G370" s="16"/>
      <c r="H370" s="18"/>
    </row>
    <row r="371" spans="3:8" x14ac:dyDescent="0.25">
      <c r="C371" s="17">
        <v>31309</v>
      </c>
      <c r="D371" s="16"/>
      <c r="E371" s="16"/>
      <c r="F371" s="16"/>
      <c r="G371" s="16"/>
      <c r="H371" s="18"/>
    </row>
    <row r="372" spans="3:8" x14ac:dyDescent="0.25">
      <c r="C372" s="17">
        <v>33484</v>
      </c>
      <c r="D372" s="16"/>
      <c r="E372" s="16"/>
      <c r="F372" s="16"/>
      <c r="G372" s="16"/>
      <c r="H372" s="18"/>
    </row>
    <row r="373" spans="3:8" x14ac:dyDescent="0.25">
      <c r="C373" s="17">
        <v>13166</v>
      </c>
      <c r="D373" s="16"/>
      <c r="E373" s="16"/>
      <c r="F373" s="16"/>
      <c r="G373" s="16"/>
      <c r="H373" s="18"/>
    </row>
    <row r="374" spans="3:8" x14ac:dyDescent="0.25">
      <c r="C374" s="17">
        <v>29360</v>
      </c>
      <c r="D374" s="16"/>
      <c r="E374" s="16"/>
      <c r="F374" s="16"/>
      <c r="G374" s="16"/>
      <c r="H374" s="18"/>
    </row>
    <row r="375" spans="3:8" x14ac:dyDescent="0.25">
      <c r="C375" s="17">
        <v>11006</v>
      </c>
      <c r="D375" s="16"/>
      <c r="E375" s="16"/>
      <c r="F375" s="16"/>
      <c r="G375" s="16"/>
      <c r="H375" s="18"/>
    </row>
    <row r="376" spans="3:8" x14ac:dyDescent="0.25">
      <c r="C376" s="17">
        <v>29144</v>
      </c>
      <c r="D376" s="16"/>
      <c r="E376" s="16"/>
      <c r="F376" s="16"/>
      <c r="G376" s="16"/>
      <c r="H376" s="18"/>
    </row>
    <row r="377" spans="3:8" x14ac:dyDescent="0.25">
      <c r="C377" s="17">
        <v>31555</v>
      </c>
      <c r="D377" s="16"/>
      <c r="E377" s="16"/>
      <c r="F377" s="16"/>
      <c r="G377" s="16"/>
      <c r="H377" s="18"/>
    </row>
    <row r="378" spans="3:8" x14ac:dyDescent="0.25">
      <c r="C378" s="17">
        <v>3816</v>
      </c>
      <c r="D378" s="16"/>
      <c r="E378" s="16"/>
      <c r="F378" s="16"/>
      <c r="G378" s="16"/>
      <c r="H378" s="18"/>
    </row>
    <row r="379" spans="3:8" x14ac:dyDescent="0.25">
      <c r="C379" s="17">
        <v>30810</v>
      </c>
      <c r="D379" s="16"/>
      <c r="E379" s="16"/>
      <c r="F379" s="16"/>
      <c r="G379" s="16"/>
      <c r="H379" s="18"/>
    </row>
    <row r="380" spans="3:8" x14ac:dyDescent="0.25">
      <c r="C380" s="17">
        <v>68835</v>
      </c>
      <c r="D380" s="16"/>
      <c r="E380" s="16"/>
      <c r="F380" s="16"/>
      <c r="G380" s="16"/>
      <c r="H380" s="18"/>
    </row>
    <row r="381" spans="3:8" x14ac:dyDescent="0.25">
      <c r="C381" s="17">
        <v>25180</v>
      </c>
      <c r="D381" s="16"/>
      <c r="E381" s="16"/>
      <c r="F381" s="16"/>
      <c r="G381" s="16"/>
      <c r="H381" s="18"/>
    </row>
    <row r="382" spans="3:8" x14ac:dyDescent="0.25">
      <c r="C382" s="17">
        <v>112522</v>
      </c>
      <c r="D382" s="16"/>
      <c r="E382" s="16"/>
      <c r="F382" s="16"/>
      <c r="G382" s="16"/>
      <c r="H382" s="18"/>
    </row>
    <row r="383" spans="3:8" x14ac:dyDescent="0.25">
      <c r="C383" s="17">
        <v>7435</v>
      </c>
      <c r="D383" s="16"/>
      <c r="E383" s="16"/>
      <c r="F383" s="16"/>
      <c r="G383" s="16"/>
      <c r="H383" s="18"/>
    </row>
    <row r="384" spans="3:8" x14ac:dyDescent="0.25">
      <c r="C384" s="17">
        <v>26504</v>
      </c>
      <c r="D384" s="16"/>
      <c r="E384" s="16"/>
      <c r="F384" s="16"/>
      <c r="G384" s="16"/>
      <c r="H384" s="18"/>
    </row>
    <row r="385" spans="3:8" x14ac:dyDescent="0.25">
      <c r="C385" s="17">
        <v>93175</v>
      </c>
      <c r="D385" s="16"/>
      <c r="E385" s="16"/>
      <c r="F385" s="16"/>
      <c r="G385" s="16"/>
      <c r="H385" s="18"/>
    </row>
    <row r="386" spans="3:8" x14ac:dyDescent="0.25">
      <c r="C386" s="17">
        <v>105279</v>
      </c>
      <c r="D386" s="16"/>
      <c r="E386" s="16"/>
      <c r="F386" s="16"/>
      <c r="G386" s="16"/>
      <c r="H386" s="18"/>
    </row>
    <row r="387" spans="3:8" x14ac:dyDescent="0.25">
      <c r="C387" s="17">
        <v>4688</v>
      </c>
      <c r="D387" s="16"/>
      <c r="E387" s="16"/>
      <c r="F387" s="16"/>
      <c r="G387" s="16"/>
      <c r="H387" s="18"/>
    </row>
    <row r="388" spans="3:8" x14ac:dyDescent="0.25">
      <c r="C388" s="17">
        <v>102435</v>
      </c>
      <c r="D388" s="16"/>
      <c r="E388" s="16"/>
      <c r="F388" s="16"/>
      <c r="G388" s="16"/>
      <c r="H388" s="18"/>
    </row>
    <row r="389" spans="3:8" x14ac:dyDescent="0.25">
      <c r="C389" s="17">
        <v>39545</v>
      </c>
      <c r="D389" s="16"/>
      <c r="E389" s="16"/>
      <c r="F389" s="16"/>
      <c r="G389" s="16"/>
      <c r="H389" s="18"/>
    </row>
    <row r="390" spans="3:8" x14ac:dyDescent="0.25">
      <c r="C390" s="17">
        <v>27414</v>
      </c>
      <c r="D390" s="16"/>
      <c r="E390" s="16"/>
      <c r="F390" s="16"/>
      <c r="G390" s="16"/>
      <c r="H390" s="18"/>
    </row>
    <row r="391" spans="3:8" x14ac:dyDescent="0.25">
      <c r="C391" s="17">
        <v>13645</v>
      </c>
      <c r="D391" s="16"/>
      <c r="E391" s="16"/>
      <c r="F391" s="16"/>
      <c r="G391" s="16"/>
      <c r="H391" s="18"/>
    </row>
    <row r="392" spans="3:8" x14ac:dyDescent="0.25">
      <c r="C392" s="17">
        <v>21956</v>
      </c>
      <c r="D392" s="16"/>
      <c r="E392" s="16"/>
      <c r="F392" s="16"/>
      <c r="G392" s="16"/>
      <c r="H392" s="18"/>
    </row>
    <row r="393" spans="3:8" x14ac:dyDescent="0.25">
      <c r="C393" s="17">
        <v>2854</v>
      </c>
      <c r="D393" s="16"/>
      <c r="E393" s="16"/>
      <c r="F393" s="16"/>
      <c r="G393" s="16"/>
      <c r="H393" s="18"/>
    </row>
    <row r="394" spans="3:8" x14ac:dyDescent="0.25">
      <c r="C394" s="17">
        <v>32824</v>
      </c>
      <c r="D394" s="16"/>
      <c r="E394" s="16"/>
      <c r="F394" s="16"/>
      <c r="G394" s="16"/>
      <c r="H394" s="18"/>
    </row>
    <row r="395" spans="3:8" x14ac:dyDescent="0.25">
      <c r="C395" s="17">
        <v>21145</v>
      </c>
      <c r="D395" s="16"/>
      <c r="E395" s="16"/>
      <c r="F395" s="16"/>
      <c r="G395" s="16"/>
      <c r="H395" s="18"/>
    </row>
    <row r="396" spans="3:8" x14ac:dyDescent="0.25">
      <c r="C396" s="17">
        <v>14917</v>
      </c>
      <c r="D396" s="16"/>
      <c r="E396" s="16"/>
      <c r="F396" s="16"/>
      <c r="G396" s="16"/>
      <c r="H396" s="18"/>
    </row>
    <row r="397" spans="3:8" x14ac:dyDescent="0.25">
      <c r="C397" s="17">
        <v>6725</v>
      </c>
      <c r="D397" s="16"/>
      <c r="E397" s="16"/>
      <c r="F397" s="16"/>
      <c r="G397" s="16"/>
      <c r="H397" s="18"/>
    </row>
    <row r="398" spans="3:8" x14ac:dyDescent="0.25">
      <c r="C398" s="17">
        <v>6465</v>
      </c>
      <c r="D398" s="16"/>
      <c r="E398" s="16"/>
      <c r="F398" s="16"/>
      <c r="G398" s="16"/>
      <c r="H398" s="18"/>
    </row>
    <row r="399" spans="3:8" x14ac:dyDescent="0.25">
      <c r="C399" s="17">
        <v>68046</v>
      </c>
      <c r="D399" s="16"/>
      <c r="E399" s="16"/>
      <c r="F399" s="16"/>
      <c r="G399" s="16"/>
      <c r="H399" s="18"/>
    </row>
    <row r="400" spans="3:8" x14ac:dyDescent="0.25">
      <c r="C400" s="17">
        <v>13180</v>
      </c>
      <c r="D400" s="16"/>
      <c r="E400" s="16"/>
      <c r="F400" s="16"/>
      <c r="G400" s="16"/>
      <c r="H400" s="18"/>
    </row>
    <row r="401" spans="3:8" x14ac:dyDescent="0.25">
      <c r="C401" s="17">
        <v>4206</v>
      </c>
      <c r="D401" s="16"/>
      <c r="E401" s="16"/>
      <c r="F401" s="16"/>
      <c r="G401" s="16"/>
      <c r="H401" s="18"/>
    </row>
    <row r="402" spans="3:8" x14ac:dyDescent="0.25">
      <c r="C402" s="17">
        <v>73327</v>
      </c>
      <c r="D402" s="16"/>
      <c r="E402" s="16"/>
      <c r="F402" s="16"/>
      <c r="G402" s="16"/>
      <c r="H402" s="18"/>
    </row>
    <row r="403" spans="3:8" x14ac:dyDescent="0.25">
      <c r="C403" s="17">
        <v>26057</v>
      </c>
      <c r="D403" s="16"/>
      <c r="E403" s="16"/>
      <c r="F403" s="16"/>
      <c r="G403" s="16"/>
      <c r="H403" s="18"/>
    </row>
    <row r="404" spans="3:8" x14ac:dyDescent="0.25">
      <c r="C404" s="17">
        <v>33888</v>
      </c>
      <c r="D404" s="16"/>
      <c r="E404" s="16"/>
      <c r="F404" s="16"/>
      <c r="G404" s="16"/>
      <c r="H404" s="18"/>
    </row>
    <row r="405" spans="3:8" x14ac:dyDescent="0.25">
      <c r="C405" s="17">
        <v>32660</v>
      </c>
      <c r="D405" s="16"/>
      <c r="E405" s="16"/>
      <c r="F405" s="16"/>
      <c r="G405" s="16"/>
      <c r="H405" s="18"/>
    </row>
    <row r="406" spans="3:8" x14ac:dyDescent="0.25">
      <c r="C406" s="17">
        <v>4086</v>
      </c>
      <c r="D406" s="16"/>
      <c r="E406" s="16"/>
      <c r="F406" s="16"/>
      <c r="G406" s="16"/>
      <c r="H406" s="18"/>
    </row>
    <row r="407" spans="3:8" x14ac:dyDescent="0.25">
      <c r="C407" s="17">
        <v>5293</v>
      </c>
      <c r="D407" s="16"/>
      <c r="E407" s="16"/>
      <c r="F407" s="16"/>
      <c r="G407" s="16"/>
      <c r="H407" s="18"/>
    </row>
    <row r="408" spans="3:8" x14ac:dyDescent="0.25">
      <c r="C408" s="17">
        <v>21722</v>
      </c>
      <c r="D408" s="16"/>
      <c r="E408" s="16"/>
      <c r="F408" s="16"/>
      <c r="G408" s="16"/>
      <c r="H408" s="18"/>
    </row>
    <row r="409" spans="3:8" x14ac:dyDescent="0.25">
      <c r="C409" s="17">
        <v>121684</v>
      </c>
      <c r="D409" s="16"/>
      <c r="E409" s="16"/>
      <c r="F409" s="16"/>
      <c r="G409" s="16"/>
      <c r="H409" s="18"/>
    </row>
    <row r="410" spans="3:8" x14ac:dyDescent="0.25">
      <c r="C410" s="17">
        <v>20314</v>
      </c>
      <c r="D410" s="16"/>
      <c r="E410" s="16"/>
      <c r="F410" s="16"/>
      <c r="G410" s="16"/>
      <c r="H410" s="18"/>
    </row>
    <row r="411" spans="3:8" x14ac:dyDescent="0.25">
      <c r="C411" s="17">
        <v>31611</v>
      </c>
      <c r="D411" s="16"/>
      <c r="E411" s="16"/>
      <c r="F411" s="16"/>
      <c r="G411" s="16"/>
      <c r="H411" s="18"/>
    </row>
    <row r="412" spans="3:8" x14ac:dyDescent="0.25">
      <c r="C412" s="17">
        <v>43741</v>
      </c>
      <c r="D412" s="16"/>
      <c r="E412" s="16"/>
      <c r="F412" s="16"/>
      <c r="G412" s="16"/>
      <c r="H412" s="18"/>
    </row>
    <row r="413" spans="3:8" x14ac:dyDescent="0.25">
      <c r="C413" s="17">
        <v>84332</v>
      </c>
      <c r="D413" s="16"/>
      <c r="E413" s="16"/>
      <c r="F413" s="16"/>
      <c r="G413" s="16"/>
      <c r="H413" s="18"/>
    </row>
    <row r="414" spans="3:8" x14ac:dyDescent="0.25">
      <c r="C414" s="17">
        <v>6183</v>
      </c>
      <c r="D414" s="16"/>
      <c r="E414" s="16"/>
      <c r="F414" s="16"/>
      <c r="G414" s="16"/>
      <c r="H414" s="18"/>
    </row>
    <row r="415" spans="3:8" x14ac:dyDescent="0.25">
      <c r="C415" s="17">
        <v>54436</v>
      </c>
      <c r="D415" s="16"/>
      <c r="E415" s="16"/>
      <c r="F415" s="16"/>
      <c r="G415" s="16"/>
      <c r="H415" s="18"/>
    </row>
    <row r="416" spans="3:8" x14ac:dyDescent="0.25">
      <c r="C416" s="17">
        <v>87673</v>
      </c>
      <c r="D416" s="16"/>
      <c r="E416" s="16"/>
      <c r="F416" s="16"/>
      <c r="G416" s="16"/>
      <c r="H416" s="18"/>
    </row>
    <row r="417" spans="3:8" x14ac:dyDescent="0.25">
      <c r="C417" s="17">
        <v>32605</v>
      </c>
      <c r="D417" s="16"/>
      <c r="E417" s="16"/>
      <c r="F417" s="16"/>
      <c r="G417" s="16"/>
      <c r="H417" s="18"/>
    </row>
    <row r="418" spans="3:8" x14ac:dyDescent="0.25">
      <c r="C418" s="17">
        <v>33628</v>
      </c>
      <c r="D418" s="16"/>
      <c r="E418" s="16"/>
      <c r="F418" s="16"/>
      <c r="G418" s="16"/>
      <c r="H418" s="18"/>
    </row>
    <row r="419" spans="3:8" x14ac:dyDescent="0.25">
      <c r="C419" s="17">
        <v>33656</v>
      </c>
      <c r="D419" s="16"/>
      <c r="E419" s="16"/>
      <c r="F419" s="16"/>
      <c r="G419" s="16"/>
      <c r="H419" s="18"/>
    </row>
    <row r="420" spans="3:8" x14ac:dyDescent="0.25">
      <c r="C420" s="17">
        <v>10801</v>
      </c>
      <c r="D420" s="16"/>
      <c r="E420" s="16"/>
      <c r="F420" s="16"/>
      <c r="G420" s="16"/>
      <c r="H420" s="18"/>
    </row>
    <row r="421" spans="3:8" x14ac:dyDescent="0.25">
      <c r="C421" s="17">
        <v>15626</v>
      </c>
      <c r="D421" s="16"/>
      <c r="E421" s="16"/>
      <c r="F421" s="16"/>
      <c r="G421" s="16"/>
      <c r="H421" s="18"/>
    </row>
    <row r="422" spans="3:8" x14ac:dyDescent="0.25">
      <c r="C422" s="17">
        <v>33677</v>
      </c>
      <c r="D422" s="16"/>
      <c r="E422" s="16"/>
      <c r="F422" s="16"/>
      <c r="G422" s="16"/>
      <c r="H422" s="18"/>
    </row>
    <row r="423" spans="3:8" x14ac:dyDescent="0.25">
      <c r="C423" s="17">
        <v>18370</v>
      </c>
      <c r="D423" s="16"/>
      <c r="E423" s="16"/>
      <c r="F423" s="16"/>
      <c r="G423" s="16"/>
      <c r="H423" s="18"/>
    </row>
    <row r="424" spans="3:8" x14ac:dyDescent="0.25">
      <c r="C424" s="17">
        <v>30585</v>
      </c>
      <c r="D424" s="16"/>
      <c r="E424" s="16"/>
      <c r="F424" s="16"/>
      <c r="G424" s="16"/>
      <c r="H424" s="18"/>
    </row>
    <row r="425" spans="3:8" x14ac:dyDescent="0.25">
      <c r="C425" s="17">
        <v>23719</v>
      </c>
      <c r="D425" s="16"/>
      <c r="E425" s="16"/>
      <c r="F425" s="16"/>
      <c r="G425" s="16"/>
      <c r="H425" s="18"/>
    </row>
    <row r="426" spans="3:8" x14ac:dyDescent="0.25">
      <c r="C426" s="17">
        <v>2805</v>
      </c>
      <c r="D426" s="16"/>
      <c r="E426" s="16"/>
      <c r="F426" s="16"/>
      <c r="G426" s="16"/>
      <c r="H426" s="18"/>
    </row>
    <row r="427" spans="3:8" x14ac:dyDescent="0.25">
      <c r="C427" s="17">
        <v>5544</v>
      </c>
      <c r="D427" s="16"/>
      <c r="E427" s="16"/>
      <c r="F427" s="16"/>
      <c r="G427" s="16"/>
      <c r="H427" s="18"/>
    </row>
    <row r="428" spans="3:8" x14ac:dyDescent="0.25">
      <c r="C428" s="17">
        <v>4071</v>
      </c>
      <c r="D428" s="16"/>
      <c r="E428" s="16"/>
      <c r="F428" s="16"/>
      <c r="G428" s="16"/>
      <c r="H428" s="18"/>
    </row>
    <row r="429" spans="3:8" x14ac:dyDescent="0.25">
      <c r="C429" s="17">
        <v>32457</v>
      </c>
      <c r="D429" s="16"/>
      <c r="E429" s="16"/>
      <c r="F429" s="16"/>
      <c r="G429" s="16"/>
      <c r="H429" s="18"/>
    </row>
    <row r="430" spans="3:8" x14ac:dyDescent="0.25">
      <c r="C430" s="17">
        <v>15897</v>
      </c>
      <c r="D430" s="16"/>
      <c r="E430" s="16"/>
      <c r="F430" s="16"/>
      <c r="G430" s="16"/>
      <c r="H430" s="18"/>
    </row>
    <row r="431" spans="3:8" x14ac:dyDescent="0.25">
      <c r="C431" s="17">
        <v>28837</v>
      </c>
      <c r="D431" s="16"/>
      <c r="E431" s="16"/>
      <c r="F431" s="16"/>
      <c r="G431" s="16"/>
      <c r="H431" s="18"/>
    </row>
    <row r="432" spans="3:8" x14ac:dyDescent="0.25">
      <c r="C432" s="17">
        <v>8383</v>
      </c>
      <c r="D432" s="16"/>
      <c r="E432" s="16"/>
      <c r="F432" s="16"/>
      <c r="G432" s="16"/>
      <c r="H432" s="18"/>
    </row>
    <row r="433" spans="3:8" x14ac:dyDescent="0.25">
      <c r="C433" s="17">
        <v>12481</v>
      </c>
      <c r="D433" s="16"/>
      <c r="E433" s="16"/>
      <c r="F433" s="16"/>
      <c r="G433" s="16"/>
      <c r="H433" s="18"/>
    </row>
    <row r="434" spans="3:8" x14ac:dyDescent="0.25">
      <c r="C434" s="17">
        <v>6320</v>
      </c>
      <c r="D434" s="16"/>
      <c r="E434" s="16"/>
      <c r="F434" s="16"/>
      <c r="G434" s="16"/>
      <c r="H434" s="18"/>
    </row>
    <row r="435" spans="3:8" x14ac:dyDescent="0.25">
      <c r="C435" s="17">
        <v>4398</v>
      </c>
      <c r="D435" s="16"/>
      <c r="E435" s="16"/>
      <c r="F435" s="16"/>
      <c r="G435" s="16"/>
      <c r="H435" s="18"/>
    </row>
    <row r="436" spans="3:8" x14ac:dyDescent="0.25">
      <c r="C436" s="17">
        <v>5807</v>
      </c>
      <c r="D436" s="16"/>
      <c r="E436" s="16"/>
      <c r="F436" s="16"/>
      <c r="G436" s="16"/>
      <c r="H436" s="18"/>
    </row>
    <row r="437" spans="3:8" x14ac:dyDescent="0.25">
      <c r="C437" s="17">
        <v>40347</v>
      </c>
      <c r="D437" s="16"/>
      <c r="E437" s="16"/>
      <c r="F437" s="16"/>
      <c r="G437" s="16"/>
      <c r="H437" s="18"/>
    </row>
    <row r="438" spans="3:8" x14ac:dyDescent="0.25">
      <c r="C438" s="17">
        <v>19510</v>
      </c>
      <c r="D438" s="16"/>
      <c r="E438" s="16"/>
      <c r="F438" s="16"/>
      <c r="G438" s="16"/>
      <c r="H438" s="18"/>
    </row>
    <row r="439" spans="3:8" x14ac:dyDescent="0.25">
      <c r="C439" s="17">
        <v>12223</v>
      </c>
      <c r="D439" s="16"/>
      <c r="E439" s="16"/>
      <c r="F439" s="16"/>
      <c r="G439" s="16"/>
      <c r="H439" s="18"/>
    </row>
    <row r="440" spans="3:8" x14ac:dyDescent="0.25">
      <c r="C440" s="17">
        <v>11251</v>
      </c>
      <c r="D440" s="16"/>
      <c r="E440" s="16"/>
      <c r="F440" s="16"/>
      <c r="G440" s="16"/>
      <c r="H440" s="18"/>
    </row>
    <row r="441" spans="3:8" x14ac:dyDescent="0.25">
      <c r="C441" s="17">
        <v>11297</v>
      </c>
      <c r="D441" s="16"/>
      <c r="E441" s="16"/>
      <c r="F441" s="16"/>
      <c r="G441" s="16"/>
      <c r="H441" s="18"/>
    </row>
    <row r="442" spans="3:8" x14ac:dyDescent="0.25">
      <c r="C442" s="17">
        <v>36430</v>
      </c>
      <c r="D442" s="16"/>
      <c r="E442" s="16"/>
      <c r="F442" s="16"/>
      <c r="G442" s="16"/>
      <c r="H442" s="18"/>
    </row>
    <row r="443" spans="3:8" x14ac:dyDescent="0.25">
      <c r="C443" s="17">
        <v>34720</v>
      </c>
      <c r="D443" s="16"/>
      <c r="E443" s="16"/>
      <c r="F443" s="16"/>
      <c r="G443" s="16"/>
      <c r="H443" s="18"/>
    </row>
    <row r="444" spans="3:8" x14ac:dyDescent="0.25">
      <c r="C444" s="17">
        <v>13170</v>
      </c>
      <c r="D444" s="16"/>
      <c r="E444" s="16"/>
      <c r="F444" s="16"/>
      <c r="G444" s="16"/>
      <c r="H444" s="18"/>
    </row>
    <row r="445" spans="3:8" x14ac:dyDescent="0.25">
      <c r="C445" s="17">
        <v>86182</v>
      </c>
      <c r="D445" s="16"/>
      <c r="E445" s="16"/>
      <c r="F445" s="16"/>
      <c r="G445" s="16"/>
      <c r="H445" s="18"/>
    </row>
    <row r="446" spans="3:8" x14ac:dyDescent="0.25">
      <c r="C446" s="17">
        <v>4932</v>
      </c>
      <c r="D446" s="16"/>
      <c r="E446" s="16"/>
      <c r="F446" s="16"/>
      <c r="G446" s="16"/>
      <c r="H446" s="18"/>
    </row>
    <row r="447" spans="3:8" x14ac:dyDescent="0.25">
      <c r="C447" s="17">
        <v>53080</v>
      </c>
      <c r="D447" s="16"/>
      <c r="E447" s="16"/>
      <c r="F447" s="16"/>
      <c r="G447" s="16"/>
      <c r="H447" s="18"/>
    </row>
    <row r="448" spans="3:8" x14ac:dyDescent="0.25">
      <c r="C448" s="17">
        <v>20673</v>
      </c>
      <c r="D448" s="16"/>
      <c r="E448" s="16"/>
      <c r="F448" s="16"/>
      <c r="G448" s="16"/>
      <c r="H448" s="18"/>
    </row>
    <row r="449" spans="3:8" x14ac:dyDescent="0.25">
      <c r="C449" s="17">
        <v>13459</v>
      </c>
      <c r="D449" s="16"/>
      <c r="E449" s="16"/>
      <c r="F449" s="16"/>
      <c r="G449" s="16"/>
      <c r="H449" s="18"/>
    </row>
    <row r="450" spans="3:8" x14ac:dyDescent="0.25">
      <c r="C450" s="17">
        <v>30312</v>
      </c>
      <c r="D450" s="16"/>
      <c r="E450" s="16"/>
      <c r="F450" s="16"/>
      <c r="G450" s="16"/>
      <c r="H450" s="18"/>
    </row>
    <row r="451" spans="3:8" x14ac:dyDescent="0.25">
      <c r="C451" s="17">
        <v>21996</v>
      </c>
      <c r="D451" s="16"/>
      <c r="E451" s="16"/>
      <c r="F451" s="16"/>
      <c r="G451" s="16"/>
      <c r="H451" s="18"/>
    </row>
    <row r="452" spans="3:8" x14ac:dyDescent="0.25">
      <c r="C452" s="17">
        <v>5050</v>
      </c>
      <c r="D452" s="16"/>
      <c r="E452" s="16"/>
      <c r="F452" s="16"/>
      <c r="G452" s="16"/>
      <c r="H452" s="18"/>
    </row>
    <row r="453" spans="3:8" x14ac:dyDescent="0.25">
      <c r="C453" s="17">
        <v>53988</v>
      </c>
      <c r="D453" s="16"/>
      <c r="E453" s="16"/>
      <c r="F453" s="16"/>
      <c r="G453" s="16"/>
      <c r="H453" s="18"/>
    </row>
    <row r="454" spans="3:8" x14ac:dyDescent="0.25">
      <c r="C454" s="17">
        <v>24626</v>
      </c>
      <c r="D454" s="16"/>
      <c r="E454" s="16"/>
      <c r="F454" s="16"/>
      <c r="G454" s="16"/>
      <c r="H454" s="18"/>
    </row>
    <row r="455" spans="3:8" x14ac:dyDescent="0.25">
      <c r="C455" s="17">
        <v>111060</v>
      </c>
      <c r="D455" s="16"/>
      <c r="E455" s="16"/>
      <c r="F455" s="16"/>
      <c r="G455" s="16"/>
      <c r="H455" s="18"/>
    </row>
    <row r="456" spans="3:8" x14ac:dyDescent="0.25">
      <c r="C456" s="17">
        <v>10344</v>
      </c>
      <c r="D456" s="16"/>
      <c r="E456" s="16"/>
      <c r="F456" s="16"/>
      <c r="G456" s="16"/>
      <c r="H456" s="18"/>
    </row>
    <row r="457" spans="3:8" x14ac:dyDescent="0.25">
      <c r="C457" s="17">
        <v>34370</v>
      </c>
      <c r="D457" s="16"/>
      <c r="E457" s="16"/>
      <c r="F457" s="16"/>
      <c r="G457" s="16"/>
      <c r="H457" s="18"/>
    </row>
    <row r="458" spans="3:8" x14ac:dyDescent="0.25">
      <c r="C458" s="17">
        <v>32375</v>
      </c>
      <c r="D458" s="16"/>
      <c r="E458" s="16"/>
      <c r="F458" s="16"/>
      <c r="G458" s="16"/>
      <c r="H458" s="18"/>
    </row>
    <row r="459" spans="3:8" x14ac:dyDescent="0.25">
      <c r="C459" s="17">
        <v>5627</v>
      </c>
      <c r="D459" s="16"/>
      <c r="E459" s="16"/>
      <c r="F459" s="16"/>
      <c r="G459" s="16"/>
      <c r="H459" s="18"/>
    </row>
    <row r="460" spans="3:8" x14ac:dyDescent="0.25">
      <c r="C460" s="17">
        <v>50587</v>
      </c>
      <c r="D460" s="16"/>
      <c r="E460" s="16"/>
      <c r="F460" s="16"/>
      <c r="G460" s="16"/>
      <c r="H460" s="18"/>
    </row>
    <row r="461" spans="3:8" x14ac:dyDescent="0.25">
      <c r="C461" s="17">
        <v>4262</v>
      </c>
      <c r="D461" s="16"/>
      <c r="E461" s="16"/>
      <c r="F461" s="16"/>
      <c r="G461" s="16"/>
      <c r="H461" s="18"/>
    </row>
    <row r="462" spans="3:8" x14ac:dyDescent="0.25">
      <c r="C462" s="17">
        <v>83690</v>
      </c>
      <c r="D462" s="16"/>
      <c r="E462" s="16"/>
      <c r="F462" s="16"/>
      <c r="G462" s="16"/>
      <c r="H462" s="18"/>
    </row>
    <row r="463" spans="3:8" x14ac:dyDescent="0.25">
      <c r="C463" s="17">
        <v>7904</v>
      </c>
      <c r="D463" s="16"/>
      <c r="E463" s="16"/>
      <c r="F463" s="16"/>
      <c r="G463" s="16"/>
      <c r="H463" s="18"/>
    </row>
    <row r="464" spans="3:8" x14ac:dyDescent="0.25">
      <c r="C464" s="17">
        <v>18313</v>
      </c>
      <c r="D464" s="16"/>
      <c r="E464" s="16"/>
      <c r="F464" s="16"/>
      <c r="G464" s="16"/>
      <c r="H464" s="18"/>
    </row>
    <row r="465" spans="3:8" x14ac:dyDescent="0.25">
      <c r="C465" s="17">
        <v>99319</v>
      </c>
      <c r="D465" s="16"/>
      <c r="E465" s="16"/>
      <c r="F465" s="16"/>
      <c r="G465" s="16"/>
      <c r="H465" s="18"/>
    </row>
    <row r="466" spans="3:8" x14ac:dyDescent="0.25">
      <c r="C466" s="17">
        <v>35986</v>
      </c>
      <c r="D466" s="16"/>
      <c r="E466" s="16"/>
      <c r="F466" s="16"/>
      <c r="G466" s="16"/>
      <c r="H466" s="18"/>
    </row>
    <row r="467" spans="3:8" x14ac:dyDescent="0.25">
      <c r="C467" s="17">
        <v>8384</v>
      </c>
      <c r="D467" s="16"/>
      <c r="E467" s="16"/>
      <c r="F467" s="16"/>
      <c r="G467" s="16"/>
      <c r="H467" s="18"/>
    </row>
    <row r="468" spans="3:8" x14ac:dyDescent="0.25">
      <c r="C468" s="17">
        <v>26486</v>
      </c>
      <c r="D468" s="16"/>
      <c r="E468" s="16"/>
      <c r="F468" s="16"/>
      <c r="G468" s="16"/>
      <c r="H468" s="18"/>
    </row>
    <row r="469" spans="3:8" x14ac:dyDescent="0.25">
      <c r="C469" s="17">
        <v>20694</v>
      </c>
      <c r="D469" s="16"/>
      <c r="E469" s="16"/>
      <c r="F469" s="16"/>
      <c r="G469" s="16"/>
      <c r="H469" s="18"/>
    </row>
    <row r="470" spans="3:8" x14ac:dyDescent="0.25">
      <c r="C470" s="17">
        <v>44823</v>
      </c>
      <c r="D470" s="16"/>
      <c r="E470" s="16"/>
      <c r="F470" s="16"/>
      <c r="G470" s="16"/>
      <c r="H470" s="18"/>
    </row>
    <row r="471" spans="3:8" x14ac:dyDescent="0.25">
      <c r="C471" s="17">
        <v>6202</v>
      </c>
      <c r="D471" s="16"/>
      <c r="E471" s="16"/>
      <c r="F471" s="16"/>
      <c r="G471" s="16"/>
      <c r="H471" s="18"/>
    </row>
    <row r="472" spans="3:8" x14ac:dyDescent="0.25">
      <c r="C472" s="17">
        <v>4954</v>
      </c>
      <c r="D472" s="16"/>
      <c r="E472" s="16"/>
      <c r="F472" s="16"/>
      <c r="G472" s="16"/>
      <c r="H472" s="18"/>
    </row>
    <row r="473" spans="3:8" x14ac:dyDescent="0.25">
      <c r="C473" s="17">
        <v>14394</v>
      </c>
      <c r="D473" s="16"/>
      <c r="E473" s="16"/>
      <c r="F473" s="16"/>
      <c r="G473" s="16"/>
      <c r="H473" s="18"/>
    </row>
    <row r="474" spans="3:8" x14ac:dyDescent="0.25">
      <c r="C474" s="17">
        <v>34936</v>
      </c>
      <c r="D474" s="16"/>
      <c r="E474" s="16"/>
      <c r="F474" s="16"/>
      <c r="G474" s="16"/>
      <c r="H474" s="18"/>
    </row>
    <row r="475" spans="3:8" x14ac:dyDescent="0.25">
      <c r="C475" s="17">
        <v>4774</v>
      </c>
      <c r="D475" s="16"/>
      <c r="E475" s="16"/>
      <c r="F475" s="16"/>
      <c r="G475" s="16"/>
      <c r="H475" s="18"/>
    </row>
    <row r="476" spans="3:8" x14ac:dyDescent="0.25">
      <c r="C476" s="17">
        <v>33011</v>
      </c>
      <c r="D476" s="16"/>
      <c r="E476" s="16"/>
      <c r="F476" s="16"/>
      <c r="G476" s="16"/>
      <c r="H476" s="18"/>
    </row>
    <row r="477" spans="3:8" x14ac:dyDescent="0.25">
      <c r="C477" s="17">
        <v>5256</v>
      </c>
      <c r="D477" s="16"/>
      <c r="E477" s="16"/>
      <c r="F477" s="16"/>
      <c r="G477" s="16"/>
      <c r="H477" s="18"/>
    </row>
    <row r="478" spans="3:8" x14ac:dyDescent="0.25">
      <c r="C478" s="17">
        <v>86680</v>
      </c>
      <c r="D478" s="16"/>
      <c r="E478" s="16"/>
      <c r="F478" s="16"/>
      <c r="G478" s="16"/>
      <c r="H478" s="18"/>
    </row>
    <row r="479" spans="3:8" x14ac:dyDescent="0.25">
      <c r="C479" s="17">
        <v>26991</v>
      </c>
      <c r="D479" s="16"/>
      <c r="E479" s="16"/>
      <c r="F479" s="16"/>
      <c r="G479" s="16"/>
      <c r="H479" s="18"/>
    </row>
    <row r="480" spans="3:8" x14ac:dyDescent="0.25">
      <c r="C480" s="17">
        <v>28383</v>
      </c>
      <c r="D480" s="16"/>
      <c r="E480" s="16"/>
      <c r="F480" s="16"/>
      <c r="G480" s="16"/>
      <c r="H480" s="18"/>
    </row>
    <row r="481" spans="3:8" x14ac:dyDescent="0.25">
      <c r="C481" s="17">
        <v>26443</v>
      </c>
      <c r="D481" s="16"/>
      <c r="E481" s="16"/>
      <c r="F481" s="16"/>
      <c r="G481" s="16"/>
      <c r="H481" s="18"/>
    </row>
    <row r="482" spans="3:8" x14ac:dyDescent="0.25">
      <c r="C482" s="17">
        <v>104190</v>
      </c>
      <c r="D482" s="16"/>
      <c r="E482" s="16"/>
      <c r="F482" s="16"/>
      <c r="G482" s="16"/>
      <c r="H482" s="18"/>
    </row>
    <row r="483" spans="3:8" x14ac:dyDescent="0.25">
      <c r="C483" s="17">
        <v>28216</v>
      </c>
      <c r="D483" s="16"/>
      <c r="E483" s="16"/>
      <c r="F483" s="16"/>
      <c r="G483" s="16"/>
      <c r="H483" s="18"/>
    </row>
    <row r="484" spans="3:8" x14ac:dyDescent="0.25">
      <c r="C484" s="17">
        <v>84769</v>
      </c>
      <c r="D484" s="16"/>
      <c r="E484" s="16"/>
      <c r="F484" s="16"/>
      <c r="G484" s="16"/>
      <c r="H484" s="18"/>
    </row>
    <row r="485" spans="3:8" x14ac:dyDescent="0.25">
      <c r="C485" s="17">
        <v>4187</v>
      </c>
      <c r="D485" s="16"/>
      <c r="E485" s="16"/>
      <c r="F485" s="16"/>
      <c r="G485" s="16"/>
      <c r="H485" s="18"/>
    </row>
    <row r="486" spans="3:8" x14ac:dyDescent="0.25">
      <c r="C486" s="17">
        <v>57614</v>
      </c>
      <c r="D486" s="16"/>
      <c r="E486" s="16"/>
      <c r="F486" s="16"/>
      <c r="G486" s="16"/>
      <c r="H486" s="18"/>
    </row>
    <row r="487" spans="3:8" x14ac:dyDescent="0.25">
      <c r="C487" s="17">
        <v>28408</v>
      </c>
      <c r="D487" s="16"/>
      <c r="E487" s="16"/>
      <c r="F487" s="16"/>
      <c r="G487" s="16"/>
      <c r="H487" s="18"/>
    </row>
    <row r="488" spans="3:8" x14ac:dyDescent="0.25">
      <c r="C488" s="17">
        <v>51052</v>
      </c>
      <c r="D488" s="16"/>
      <c r="E488" s="16"/>
      <c r="F488" s="16"/>
      <c r="G488" s="16"/>
      <c r="H488" s="18"/>
    </row>
    <row r="489" spans="3:8" x14ac:dyDescent="0.25">
      <c r="C489" s="17">
        <v>25847</v>
      </c>
      <c r="D489" s="16"/>
      <c r="E489" s="16"/>
      <c r="F489" s="16"/>
      <c r="G489" s="16"/>
      <c r="H489" s="18"/>
    </row>
    <row r="490" spans="3:8" x14ac:dyDescent="0.25">
      <c r="C490" s="17">
        <v>22470</v>
      </c>
      <c r="D490" s="16"/>
      <c r="E490" s="16"/>
      <c r="F490" s="16"/>
      <c r="G490" s="16"/>
      <c r="H490" s="18"/>
    </row>
    <row r="491" spans="3:8" x14ac:dyDescent="0.25">
      <c r="C491" s="17">
        <v>5990</v>
      </c>
      <c r="D491" s="16"/>
      <c r="E491" s="16"/>
      <c r="F491" s="16"/>
      <c r="G491" s="16"/>
      <c r="H491" s="18"/>
    </row>
    <row r="492" spans="3:8" x14ac:dyDescent="0.25">
      <c r="C492" s="17">
        <v>85416</v>
      </c>
      <c r="D492" s="16"/>
      <c r="E492" s="16"/>
      <c r="F492" s="16"/>
      <c r="G492" s="16"/>
      <c r="H492" s="18"/>
    </row>
    <row r="493" spans="3:8" x14ac:dyDescent="0.25">
      <c r="C493" s="17">
        <v>35637</v>
      </c>
      <c r="D493" s="16"/>
      <c r="E493" s="16"/>
      <c r="F493" s="16"/>
      <c r="G493" s="16"/>
      <c r="H493" s="18"/>
    </row>
    <row r="494" spans="3:8" x14ac:dyDescent="0.25">
      <c r="C494" s="17">
        <v>25537</v>
      </c>
      <c r="D494" s="16"/>
      <c r="E494" s="16"/>
      <c r="F494" s="16"/>
      <c r="G494" s="16"/>
      <c r="H494" s="18"/>
    </row>
    <row r="495" spans="3:8" x14ac:dyDescent="0.25">
      <c r="C495" s="17">
        <v>4322</v>
      </c>
      <c r="D495" s="16"/>
      <c r="E495" s="16"/>
      <c r="F495" s="16"/>
      <c r="G495" s="16"/>
      <c r="H495" s="18"/>
    </row>
    <row r="496" spans="3:8" x14ac:dyDescent="0.25">
      <c r="C496" s="17">
        <v>51773</v>
      </c>
      <c r="D496" s="16"/>
      <c r="E496" s="16"/>
      <c r="F496" s="16"/>
      <c r="G496" s="16"/>
      <c r="H496" s="18"/>
    </row>
    <row r="497" spans="3:8" x14ac:dyDescent="0.25">
      <c r="C497" s="17">
        <v>24978</v>
      </c>
      <c r="D497" s="16"/>
      <c r="E497" s="16"/>
      <c r="F497" s="16"/>
      <c r="G497" s="16"/>
      <c r="H497" s="18"/>
    </row>
    <row r="498" spans="3:8" x14ac:dyDescent="0.25">
      <c r="C498" s="17">
        <v>49183</v>
      </c>
      <c r="D498" s="16"/>
      <c r="E498" s="16"/>
      <c r="F498" s="16"/>
      <c r="G498" s="16"/>
      <c r="H498" s="18"/>
    </row>
    <row r="499" spans="3:8" x14ac:dyDescent="0.25">
      <c r="C499" s="17">
        <v>7941</v>
      </c>
      <c r="D499" s="16"/>
      <c r="E499" s="16"/>
      <c r="F499" s="16"/>
      <c r="G499" s="16"/>
      <c r="H499" s="18"/>
    </row>
    <row r="500" spans="3:8" x14ac:dyDescent="0.25">
      <c r="C500" s="17">
        <v>9261</v>
      </c>
      <c r="D500" s="16"/>
      <c r="E500" s="16"/>
      <c r="F500" s="16"/>
      <c r="G500" s="16"/>
      <c r="H500" s="18"/>
    </row>
    <row r="501" spans="3:8" x14ac:dyDescent="0.25">
      <c r="C501" s="17">
        <v>92247</v>
      </c>
      <c r="D501" s="16"/>
      <c r="E501" s="16"/>
      <c r="F501" s="16"/>
      <c r="G501" s="16"/>
      <c r="H501" s="18"/>
    </row>
    <row r="502" spans="3:8" x14ac:dyDescent="0.25">
      <c r="C502" s="17">
        <v>67795</v>
      </c>
      <c r="D502" s="16"/>
      <c r="E502" s="16"/>
      <c r="F502" s="16"/>
      <c r="G502" s="16"/>
      <c r="H502" s="18"/>
    </row>
    <row r="503" spans="3:8" x14ac:dyDescent="0.25">
      <c r="C503" s="17">
        <v>131477</v>
      </c>
      <c r="D503" s="16"/>
      <c r="E503" s="16"/>
      <c r="F503" s="16"/>
      <c r="G503" s="16"/>
      <c r="H503" s="18"/>
    </row>
    <row r="504" spans="3:8" x14ac:dyDescent="0.25">
      <c r="C504" s="17">
        <v>5654</v>
      </c>
      <c r="D504" s="16"/>
      <c r="E504" s="16"/>
      <c r="F504" s="16"/>
      <c r="G504" s="16"/>
      <c r="H504" s="18"/>
    </row>
    <row r="505" spans="3:8" x14ac:dyDescent="0.25">
      <c r="C505" s="17">
        <v>14949</v>
      </c>
      <c r="D505" s="16"/>
      <c r="E505" s="16"/>
      <c r="F505" s="16"/>
      <c r="G505" s="16"/>
      <c r="H505" s="18"/>
    </row>
    <row r="506" spans="3:8" x14ac:dyDescent="0.25">
      <c r="C506" s="17">
        <v>5509</v>
      </c>
      <c r="D506" s="16"/>
      <c r="E506" s="16"/>
      <c r="F506" s="16"/>
      <c r="G506" s="16"/>
      <c r="H506" s="18"/>
    </row>
    <row r="507" spans="3:8" x14ac:dyDescent="0.25">
      <c r="C507" s="17">
        <v>30590</v>
      </c>
      <c r="D507" s="16"/>
      <c r="E507" s="16"/>
      <c r="F507" s="16"/>
      <c r="G507" s="16"/>
      <c r="H507" s="18"/>
    </row>
    <row r="508" spans="3:8" x14ac:dyDescent="0.25">
      <c r="C508" s="17">
        <v>99307</v>
      </c>
      <c r="D508" s="16"/>
      <c r="E508" s="16"/>
      <c r="F508" s="16"/>
      <c r="G508" s="16"/>
      <c r="H508" s="18"/>
    </row>
    <row r="509" spans="3:8" x14ac:dyDescent="0.25">
      <c r="C509" s="17">
        <v>6149</v>
      </c>
      <c r="D509" s="16"/>
      <c r="E509" s="16"/>
      <c r="F509" s="16"/>
      <c r="G509" s="16"/>
      <c r="H509" s="18"/>
    </row>
    <row r="510" spans="3:8" x14ac:dyDescent="0.25">
      <c r="C510" s="17">
        <v>9975</v>
      </c>
      <c r="D510" s="16"/>
      <c r="E510" s="16"/>
      <c r="F510" s="16"/>
      <c r="G510" s="16"/>
      <c r="H510" s="18"/>
    </row>
    <row r="511" spans="3:8" x14ac:dyDescent="0.25">
      <c r="C511" s="17">
        <v>5502</v>
      </c>
      <c r="D511" s="16"/>
      <c r="E511" s="16"/>
      <c r="F511" s="16"/>
      <c r="G511" s="16"/>
      <c r="H511" s="18"/>
    </row>
    <row r="512" spans="3:8" x14ac:dyDescent="0.25">
      <c r="C512" s="17">
        <v>13070</v>
      </c>
      <c r="D512" s="16"/>
      <c r="E512" s="16"/>
      <c r="F512" s="16"/>
      <c r="G512" s="16"/>
      <c r="H512" s="18"/>
    </row>
    <row r="513" spans="3:8" x14ac:dyDescent="0.25">
      <c r="C513" s="17">
        <v>27456</v>
      </c>
      <c r="D513" s="16"/>
      <c r="E513" s="16"/>
      <c r="F513" s="16"/>
      <c r="G513" s="16"/>
      <c r="H513" s="18"/>
    </row>
    <row r="514" spans="3:8" x14ac:dyDescent="0.25">
      <c r="C514" s="17">
        <v>27734</v>
      </c>
      <c r="D514" s="16"/>
      <c r="E514" s="16"/>
      <c r="F514" s="16"/>
      <c r="G514" s="16"/>
      <c r="H514" s="18"/>
    </row>
    <row r="515" spans="3:8" x14ac:dyDescent="0.25">
      <c r="C515" s="17">
        <v>5386</v>
      </c>
      <c r="D515" s="16"/>
      <c r="E515" s="16"/>
      <c r="F515" s="16"/>
      <c r="G515" s="16"/>
      <c r="H515" s="18"/>
    </row>
    <row r="516" spans="3:8" x14ac:dyDescent="0.25">
      <c r="C516" s="17">
        <v>7249</v>
      </c>
      <c r="D516" s="16"/>
      <c r="E516" s="16"/>
      <c r="F516" s="16"/>
      <c r="G516" s="16"/>
      <c r="H516" s="18"/>
    </row>
    <row r="517" spans="3:8" x14ac:dyDescent="0.25">
      <c r="C517" s="17">
        <v>48376</v>
      </c>
      <c r="D517" s="16"/>
      <c r="E517" s="16"/>
      <c r="F517" s="16"/>
      <c r="G517" s="16"/>
      <c r="H517" s="18"/>
    </row>
    <row r="518" spans="3:8" x14ac:dyDescent="0.25">
      <c r="C518" s="17">
        <v>7127</v>
      </c>
      <c r="D518" s="16"/>
      <c r="E518" s="16"/>
      <c r="F518" s="16"/>
      <c r="G518" s="16"/>
      <c r="H518" s="18"/>
    </row>
    <row r="519" spans="3:8" x14ac:dyDescent="0.25">
      <c r="C519" s="17">
        <v>6582</v>
      </c>
      <c r="D519" s="16"/>
      <c r="E519" s="16"/>
      <c r="F519" s="16"/>
      <c r="G519" s="16"/>
      <c r="H519" s="18"/>
    </row>
    <row r="520" spans="3:8" x14ac:dyDescent="0.25">
      <c r="C520" s="17">
        <v>34612</v>
      </c>
      <c r="D520" s="16"/>
      <c r="E520" s="16"/>
      <c r="F520" s="16"/>
      <c r="G520" s="16"/>
      <c r="H520" s="18"/>
    </row>
    <row r="521" spans="3:8" x14ac:dyDescent="0.25">
      <c r="C521" s="17">
        <v>32817</v>
      </c>
      <c r="D521" s="16"/>
      <c r="E521" s="16"/>
      <c r="F521" s="16"/>
      <c r="G521" s="16"/>
      <c r="H521" s="18"/>
    </row>
    <row r="522" spans="3:8" x14ac:dyDescent="0.25">
      <c r="C522" s="17">
        <v>21678</v>
      </c>
      <c r="D522" s="16"/>
      <c r="E522" s="16"/>
      <c r="F522" s="16"/>
      <c r="G522" s="16"/>
      <c r="H522" s="18"/>
    </row>
    <row r="523" spans="3:8" x14ac:dyDescent="0.25">
      <c r="C523" s="17">
        <v>10335</v>
      </c>
      <c r="D523" s="16"/>
      <c r="E523" s="16"/>
      <c r="F523" s="16"/>
      <c r="G523" s="16"/>
      <c r="H523" s="18"/>
    </row>
    <row r="524" spans="3:8" x14ac:dyDescent="0.25">
      <c r="C524" s="17">
        <v>83269</v>
      </c>
      <c r="D524" s="16"/>
      <c r="E524" s="16"/>
      <c r="F524" s="16"/>
      <c r="G524" s="16"/>
      <c r="H524" s="18"/>
    </row>
    <row r="525" spans="3:8" x14ac:dyDescent="0.25">
      <c r="C525" s="17">
        <v>14250</v>
      </c>
      <c r="D525" s="16"/>
      <c r="E525" s="16"/>
      <c r="F525" s="16"/>
      <c r="G525" s="16"/>
      <c r="H525" s="18"/>
    </row>
    <row r="526" spans="3:8" x14ac:dyDescent="0.25">
      <c r="C526" s="17">
        <v>5138</v>
      </c>
      <c r="D526" s="16"/>
      <c r="E526" s="16"/>
      <c r="F526" s="16"/>
      <c r="G526" s="16"/>
      <c r="H526" s="18"/>
    </row>
    <row r="527" spans="3:8" x14ac:dyDescent="0.25">
      <c r="C527" s="17">
        <v>4256</v>
      </c>
      <c r="D527" s="16"/>
      <c r="E527" s="16"/>
      <c r="F527" s="16"/>
      <c r="G527" s="16"/>
      <c r="H527" s="18"/>
    </row>
    <row r="528" spans="3:8" x14ac:dyDescent="0.25">
      <c r="C528" s="17">
        <v>32225</v>
      </c>
      <c r="D528" s="16"/>
      <c r="E528" s="16"/>
      <c r="F528" s="16"/>
      <c r="G528" s="16"/>
      <c r="H528" s="18"/>
    </row>
    <row r="529" spans="3:8" x14ac:dyDescent="0.25">
      <c r="C529" s="17">
        <v>13539</v>
      </c>
      <c r="D529" s="16"/>
      <c r="E529" s="16"/>
      <c r="F529" s="16"/>
      <c r="G529" s="16"/>
      <c r="H529" s="18"/>
    </row>
    <row r="530" spans="3:8" x14ac:dyDescent="0.25">
      <c r="C530" s="17">
        <v>21107</v>
      </c>
      <c r="D530" s="16"/>
      <c r="E530" s="16"/>
      <c r="F530" s="16"/>
      <c r="G530" s="16"/>
      <c r="H530" s="18"/>
    </row>
    <row r="531" spans="3:8" x14ac:dyDescent="0.25">
      <c r="C531" s="17">
        <v>65314</v>
      </c>
      <c r="D531" s="16"/>
      <c r="E531" s="16"/>
      <c r="F531" s="16"/>
      <c r="G531" s="16"/>
      <c r="H531" s="18"/>
    </row>
    <row r="532" spans="3:8" x14ac:dyDescent="0.25">
      <c r="C532" s="17">
        <v>26486</v>
      </c>
      <c r="D532" s="16"/>
      <c r="E532" s="16"/>
      <c r="F532" s="16"/>
      <c r="G532" s="16"/>
      <c r="H532" s="18"/>
    </row>
    <row r="533" spans="3:8" x14ac:dyDescent="0.25">
      <c r="C533" s="17">
        <v>29846</v>
      </c>
      <c r="D533" s="16"/>
      <c r="E533" s="16"/>
      <c r="F533" s="16"/>
      <c r="G533" s="16"/>
      <c r="H533" s="18"/>
    </row>
    <row r="534" spans="3:8" x14ac:dyDescent="0.25">
      <c r="C534" s="17">
        <v>50418</v>
      </c>
      <c r="D534" s="16"/>
      <c r="E534" s="16"/>
      <c r="F534" s="16"/>
      <c r="G534" s="16"/>
      <c r="H534" s="18"/>
    </row>
    <row r="535" spans="3:8" x14ac:dyDescent="0.25">
      <c r="C535" s="17">
        <v>28364</v>
      </c>
      <c r="D535" s="16"/>
      <c r="E535" s="16"/>
      <c r="F535" s="16"/>
      <c r="G535" s="16"/>
      <c r="H535" s="18"/>
    </row>
    <row r="536" spans="3:8" x14ac:dyDescent="0.25">
      <c r="C536" s="17">
        <v>6749</v>
      </c>
      <c r="D536" s="16"/>
      <c r="E536" s="16"/>
      <c r="F536" s="16"/>
      <c r="G536" s="16"/>
      <c r="H536" s="18"/>
    </row>
    <row r="537" spans="3:8" x14ac:dyDescent="0.25">
      <c r="C537" s="17">
        <v>36125</v>
      </c>
      <c r="D537" s="16"/>
      <c r="E537" s="16"/>
      <c r="F537" s="16"/>
      <c r="G537" s="16"/>
      <c r="H537" s="18"/>
    </row>
    <row r="538" spans="3:8" x14ac:dyDescent="0.25">
      <c r="C538" s="17">
        <v>30561</v>
      </c>
      <c r="D538" s="16"/>
      <c r="E538" s="16"/>
      <c r="F538" s="16"/>
      <c r="G538" s="16"/>
      <c r="H538" s="18"/>
    </row>
    <row r="539" spans="3:8" x14ac:dyDescent="0.25">
      <c r="C539" s="17">
        <v>7929</v>
      </c>
      <c r="D539" s="16"/>
      <c r="E539" s="16"/>
      <c r="F539" s="16"/>
      <c r="G539" s="16"/>
      <c r="H539" s="18"/>
    </row>
    <row r="540" spans="3:8" x14ac:dyDescent="0.25">
      <c r="C540" s="17">
        <v>2840</v>
      </c>
      <c r="D540" s="16"/>
      <c r="E540" s="16"/>
      <c r="F540" s="16"/>
      <c r="G540" s="16"/>
      <c r="H540" s="18"/>
    </row>
    <row r="541" spans="3:8" x14ac:dyDescent="0.25">
      <c r="C541" s="17">
        <v>4085</v>
      </c>
      <c r="D541" s="16"/>
      <c r="E541" s="16"/>
      <c r="F541" s="16"/>
      <c r="G541" s="16"/>
      <c r="H541" s="18"/>
    </row>
    <row r="542" spans="3:8" x14ac:dyDescent="0.25">
      <c r="C542" s="17">
        <v>46621</v>
      </c>
      <c r="D542" s="16"/>
      <c r="E542" s="16"/>
      <c r="F542" s="16"/>
      <c r="G542" s="16"/>
      <c r="H542" s="18"/>
    </row>
    <row r="543" spans="3:8" x14ac:dyDescent="0.25">
      <c r="C543" s="17">
        <v>3104</v>
      </c>
      <c r="D543" s="16"/>
      <c r="E543" s="16"/>
      <c r="F543" s="16"/>
      <c r="G543" s="16"/>
      <c r="H543" s="18"/>
    </row>
    <row r="544" spans="3:8" x14ac:dyDescent="0.25">
      <c r="C544" s="17">
        <v>40582</v>
      </c>
      <c r="D544" s="16"/>
      <c r="E544" s="16"/>
      <c r="F544" s="16"/>
      <c r="G544" s="16"/>
      <c r="H544" s="18"/>
    </row>
    <row r="545" spans="3:8" x14ac:dyDescent="0.25">
      <c r="C545" s="17">
        <v>11038</v>
      </c>
      <c r="D545" s="16"/>
      <c r="E545" s="16"/>
      <c r="F545" s="16"/>
      <c r="G545" s="16"/>
      <c r="H545" s="18"/>
    </row>
    <row r="546" spans="3:8" x14ac:dyDescent="0.25">
      <c r="C546" s="17">
        <v>16185</v>
      </c>
      <c r="D546" s="16"/>
      <c r="E546" s="16"/>
      <c r="F546" s="16"/>
      <c r="G546" s="16"/>
      <c r="H546" s="18"/>
    </row>
    <row r="547" spans="3:8" x14ac:dyDescent="0.25">
      <c r="C547" s="17">
        <v>25494</v>
      </c>
      <c r="D547" s="16"/>
      <c r="E547" s="16"/>
      <c r="F547" s="16"/>
      <c r="G547" s="16"/>
      <c r="H547" s="18"/>
    </row>
    <row r="548" spans="3:8" x14ac:dyDescent="0.25">
      <c r="C548" s="17">
        <v>11361</v>
      </c>
      <c r="D548" s="16"/>
      <c r="E548" s="16"/>
      <c r="F548" s="16"/>
      <c r="G548" s="16"/>
      <c r="H548" s="18"/>
    </row>
    <row r="549" spans="3:8" x14ac:dyDescent="0.25">
      <c r="C549" s="17">
        <v>67316</v>
      </c>
      <c r="D549" s="16"/>
      <c r="E549" s="16"/>
      <c r="F549" s="16"/>
      <c r="G549" s="16"/>
      <c r="H549" s="18"/>
    </row>
    <row r="550" spans="3:8" x14ac:dyDescent="0.25">
      <c r="C550" s="17">
        <v>26761</v>
      </c>
      <c r="D550" s="16"/>
      <c r="E550" s="16"/>
      <c r="F550" s="16"/>
      <c r="G550" s="16"/>
      <c r="H550" s="18"/>
    </row>
    <row r="551" spans="3:8" x14ac:dyDescent="0.25">
      <c r="C551" s="17">
        <v>85635</v>
      </c>
      <c r="D551" s="16"/>
      <c r="E551" s="16"/>
      <c r="F551" s="16"/>
      <c r="G551" s="16"/>
      <c r="H551" s="18"/>
    </row>
    <row r="552" spans="3:8" x14ac:dyDescent="0.25">
      <c r="C552" s="17">
        <v>4701</v>
      </c>
      <c r="D552" s="16"/>
      <c r="E552" s="16"/>
      <c r="F552" s="16"/>
      <c r="G552" s="16"/>
      <c r="H552" s="18"/>
    </row>
    <row r="553" spans="3:8" x14ac:dyDescent="0.25">
      <c r="C553" s="17">
        <v>7555</v>
      </c>
      <c r="D553" s="16"/>
      <c r="E553" s="16"/>
      <c r="F553" s="16"/>
      <c r="G553" s="16"/>
      <c r="H553" s="18"/>
    </row>
    <row r="554" spans="3:8" x14ac:dyDescent="0.25">
      <c r="C554" s="17">
        <v>42608</v>
      </c>
      <c r="D554" s="16"/>
      <c r="E554" s="16"/>
      <c r="F554" s="16"/>
      <c r="G554" s="16"/>
      <c r="H554" s="18"/>
    </row>
    <row r="555" spans="3:8" x14ac:dyDescent="0.25">
      <c r="C555" s="17">
        <v>27398</v>
      </c>
      <c r="D555" s="16"/>
      <c r="E555" s="16"/>
      <c r="F555" s="16"/>
      <c r="G555" s="16"/>
      <c r="H555" s="18"/>
    </row>
    <row r="556" spans="3:8" x14ac:dyDescent="0.25">
      <c r="C556" s="17">
        <v>6855</v>
      </c>
      <c r="D556" s="16"/>
      <c r="E556" s="16"/>
      <c r="F556" s="16"/>
      <c r="G556" s="16"/>
      <c r="H556" s="18"/>
    </row>
    <row r="557" spans="3:8" x14ac:dyDescent="0.25">
      <c r="C557" s="17">
        <v>10893</v>
      </c>
      <c r="D557" s="16"/>
      <c r="E557" s="16"/>
      <c r="F557" s="16"/>
      <c r="G557" s="16"/>
      <c r="H557" s="18"/>
    </row>
    <row r="558" spans="3:8" x14ac:dyDescent="0.25">
      <c r="C558" s="17">
        <v>20709</v>
      </c>
      <c r="D558" s="16"/>
      <c r="E558" s="16"/>
      <c r="F558" s="16"/>
      <c r="G558" s="16"/>
      <c r="H558" s="18"/>
    </row>
    <row r="559" spans="3:8" x14ac:dyDescent="0.25">
      <c r="C559" s="17">
        <v>35709</v>
      </c>
      <c r="D559" s="16"/>
      <c r="E559" s="16"/>
      <c r="F559" s="16"/>
      <c r="G559" s="16"/>
      <c r="H559" s="18"/>
    </row>
    <row r="560" spans="3:8" x14ac:dyDescent="0.25">
      <c r="C560" s="17">
        <v>21337</v>
      </c>
      <c r="D560" s="16"/>
      <c r="E560" s="16"/>
      <c r="F560" s="16"/>
      <c r="G560" s="16"/>
      <c r="H560" s="18"/>
    </row>
    <row r="561" spans="3:8" x14ac:dyDescent="0.25">
      <c r="C561" s="17">
        <v>9332</v>
      </c>
      <c r="D561" s="16"/>
      <c r="E561" s="16"/>
      <c r="F561" s="16"/>
      <c r="G561" s="16"/>
      <c r="H561" s="18"/>
    </row>
    <row r="562" spans="3:8" x14ac:dyDescent="0.25">
      <c r="C562" s="17">
        <v>87072</v>
      </c>
      <c r="D562" s="16"/>
      <c r="E562" s="16"/>
      <c r="F562" s="16"/>
      <c r="G562" s="16"/>
      <c r="H562" s="18"/>
    </row>
    <row r="563" spans="3:8" x14ac:dyDescent="0.25">
      <c r="C563" s="17">
        <v>3788</v>
      </c>
      <c r="D563" s="16"/>
      <c r="E563" s="16"/>
      <c r="F563" s="16"/>
      <c r="G563" s="16"/>
      <c r="H563" s="18"/>
    </row>
    <row r="564" spans="3:8" x14ac:dyDescent="0.25">
      <c r="C564" s="17">
        <v>29828</v>
      </c>
      <c r="D564" s="16"/>
      <c r="E564" s="16"/>
      <c r="F564" s="16"/>
      <c r="G564" s="16"/>
      <c r="H564" s="18"/>
    </row>
    <row r="565" spans="3:8" x14ac:dyDescent="0.25">
      <c r="C565" s="17">
        <v>4272</v>
      </c>
      <c r="D565" s="16"/>
      <c r="E565" s="16"/>
      <c r="F565" s="16"/>
      <c r="G565" s="16"/>
      <c r="H565" s="18"/>
    </row>
    <row r="566" spans="3:8" x14ac:dyDescent="0.25">
      <c r="C566" s="17">
        <v>156482</v>
      </c>
      <c r="D566" s="16"/>
      <c r="E566" s="16"/>
      <c r="F566" s="16"/>
      <c r="G566" s="16"/>
      <c r="H566" s="18"/>
    </row>
    <row r="567" spans="3:8" x14ac:dyDescent="0.25">
      <c r="C567" s="17">
        <v>94574</v>
      </c>
      <c r="D567" s="16"/>
      <c r="E567" s="16"/>
      <c r="F567" s="16"/>
      <c r="G567" s="16"/>
      <c r="H567" s="18"/>
    </row>
    <row r="568" spans="3:8" x14ac:dyDescent="0.25">
      <c r="C568" s="17">
        <v>6162</v>
      </c>
      <c r="D568" s="16"/>
      <c r="E568" s="16"/>
      <c r="F568" s="16"/>
      <c r="G568" s="16"/>
      <c r="H568" s="18"/>
    </row>
    <row r="569" spans="3:8" x14ac:dyDescent="0.25">
      <c r="C569" s="17">
        <v>40288</v>
      </c>
      <c r="D569" s="16"/>
      <c r="E569" s="16"/>
      <c r="F569" s="16"/>
      <c r="G569" s="16"/>
      <c r="H569" s="18"/>
    </row>
    <row r="570" spans="3:8" x14ac:dyDescent="0.25">
      <c r="C570" s="17">
        <v>84752</v>
      </c>
      <c r="D570" s="16"/>
      <c r="E570" s="16"/>
      <c r="F570" s="16"/>
      <c r="G570" s="16"/>
      <c r="H570" s="18"/>
    </row>
    <row r="571" spans="3:8" x14ac:dyDescent="0.25">
      <c r="C571" s="17">
        <v>11429</v>
      </c>
      <c r="D571" s="16"/>
      <c r="E571" s="16"/>
      <c r="F571" s="16"/>
      <c r="G571" s="16"/>
      <c r="H571" s="18"/>
    </row>
    <row r="572" spans="3:8" x14ac:dyDescent="0.25">
      <c r="C572" s="17">
        <v>4329</v>
      </c>
      <c r="D572" s="16"/>
      <c r="E572" s="16"/>
      <c r="F572" s="16"/>
      <c r="G572" s="16"/>
      <c r="H572" s="18"/>
    </row>
    <row r="573" spans="3:8" x14ac:dyDescent="0.25">
      <c r="C573" s="17">
        <v>2909</v>
      </c>
      <c r="D573" s="16"/>
      <c r="E573" s="16"/>
      <c r="F573" s="16"/>
      <c r="G573" s="16"/>
      <c r="H573" s="18"/>
    </row>
    <row r="574" spans="3:8" x14ac:dyDescent="0.25">
      <c r="C574" s="17">
        <v>70253</v>
      </c>
      <c r="D574" s="16"/>
      <c r="E574" s="16"/>
      <c r="F574" s="16"/>
      <c r="G574" s="16"/>
      <c r="H574" s="18"/>
    </row>
    <row r="575" spans="3:8" x14ac:dyDescent="0.25">
      <c r="C575" s="17">
        <v>32453</v>
      </c>
      <c r="D575" s="16"/>
      <c r="E575" s="16"/>
      <c r="F575" s="16"/>
      <c r="G575" s="16"/>
      <c r="H575" s="18"/>
    </row>
    <row r="576" spans="3:8" x14ac:dyDescent="0.25">
      <c r="C576" s="17">
        <v>32858</v>
      </c>
      <c r="D576" s="16"/>
      <c r="E576" s="16"/>
      <c r="F576" s="16"/>
      <c r="G576" s="16"/>
      <c r="H576" s="18"/>
    </row>
    <row r="577" spans="3:8" x14ac:dyDescent="0.25">
      <c r="C577" s="17">
        <v>17625</v>
      </c>
      <c r="D577" s="16"/>
      <c r="E577" s="16"/>
      <c r="F577" s="16"/>
      <c r="G577" s="16"/>
      <c r="H577" s="18"/>
    </row>
    <row r="578" spans="3:8" x14ac:dyDescent="0.25">
      <c r="C578" s="17">
        <v>26990</v>
      </c>
      <c r="D578" s="16"/>
      <c r="E578" s="16"/>
      <c r="F578" s="16"/>
      <c r="G578" s="16"/>
      <c r="H578" s="18"/>
    </row>
    <row r="579" spans="3:8" x14ac:dyDescent="0.25">
      <c r="C579" s="17">
        <v>5515</v>
      </c>
      <c r="D579" s="16"/>
      <c r="E579" s="16"/>
      <c r="F579" s="16"/>
      <c r="G579" s="16"/>
      <c r="H579" s="18"/>
    </row>
    <row r="580" spans="3:8" x14ac:dyDescent="0.25">
      <c r="C580" s="17">
        <v>4075</v>
      </c>
      <c r="D580" s="16"/>
      <c r="E580" s="16"/>
      <c r="F580" s="16"/>
      <c r="G580" s="16"/>
      <c r="H580" s="18"/>
    </row>
    <row r="581" spans="3:8" x14ac:dyDescent="0.25">
      <c r="C581" s="17">
        <v>5020</v>
      </c>
      <c r="D581" s="16"/>
      <c r="E581" s="16"/>
      <c r="F581" s="16"/>
      <c r="G581" s="16"/>
      <c r="H581" s="18"/>
    </row>
    <row r="582" spans="3:8" ht="15.75" thickBot="1" x14ac:dyDescent="0.3">
      <c r="C582" s="19">
        <v>72853</v>
      </c>
      <c r="D582" s="41"/>
      <c r="E582" s="41"/>
      <c r="F582" s="41"/>
      <c r="G582" s="41"/>
      <c r="H582" s="20"/>
    </row>
  </sheetData>
  <mergeCells count="1">
    <mergeCell ref="J38:V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E7B6-36F9-40B0-B95D-C392881271E6}">
  <dimension ref="B2:G32"/>
  <sheetViews>
    <sheetView showGridLines="0" showRowColHeaders="0" zoomScale="120" zoomScaleNormal="120" workbookViewId="0"/>
  </sheetViews>
  <sheetFormatPr defaultRowHeight="15" x14ac:dyDescent="0.25"/>
  <cols>
    <col min="4" max="4" width="17.7109375" bestFit="1" customWidth="1"/>
    <col min="5" max="5" width="16.28515625" bestFit="1" customWidth="1"/>
    <col min="6" max="6" width="11.140625" bestFit="1" customWidth="1"/>
    <col min="7" max="7" width="11.28515625" bestFit="1" customWidth="1"/>
  </cols>
  <sheetData>
    <row r="2" spans="2:7" ht="18.75" x14ac:dyDescent="0.3">
      <c r="B2" s="15" t="s">
        <v>74</v>
      </c>
    </row>
    <row r="4" spans="2:7" x14ac:dyDescent="0.25">
      <c r="C4" t="s">
        <v>75</v>
      </c>
    </row>
    <row r="6" spans="2:7" x14ac:dyDescent="0.25">
      <c r="C6" t="s">
        <v>76</v>
      </c>
    </row>
    <row r="7" spans="2:7" x14ac:dyDescent="0.25">
      <c r="D7" t="s">
        <v>99</v>
      </c>
    </row>
    <row r="8" spans="2:7" x14ac:dyDescent="0.25">
      <c r="D8" t="s">
        <v>100</v>
      </c>
    </row>
    <row r="9" spans="2:7" ht="15.75" thickBot="1" x14ac:dyDescent="0.3"/>
    <row r="10" spans="2:7" ht="15.75" thickBot="1" x14ac:dyDescent="0.3">
      <c r="D10" s="50" t="s">
        <v>11</v>
      </c>
      <c r="E10" s="51" t="s">
        <v>77</v>
      </c>
      <c r="F10" s="51" t="s">
        <v>78</v>
      </c>
      <c r="G10" s="52" t="s">
        <v>79</v>
      </c>
    </row>
    <row r="11" spans="2:7" x14ac:dyDescent="0.25">
      <c r="D11" s="21" t="s">
        <v>80</v>
      </c>
      <c r="E11" s="42">
        <v>257</v>
      </c>
      <c r="F11" s="42">
        <v>67</v>
      </c>
      <c r="G11" s="22">
        <v>324</v>
      </c>
    </row>
    <row r="12" spans="2:7" x14ac:dyDescent="0.25">
      <c r="D12" s="17" t="s">
        <v>81</v>
      </c>
      <c r="E12" s="16">
        <v>267</v>
      </c>
      <c r="F12" s="16">
        <v>58</v>
      </c>
      <c r="G12" s="18">
        <v>325</v>
      </c>
    </row>
    <row r="13" spans="2:7" x14ac:dyDescent="0.25">
      <c r="D13" s="17" t="s">
        <v>82</v>
      </c>
      <c r="E13" s="16">
        <v>273</v>
      </c>
      <c r="F13" s="16">
        <v>91</v>
      </c>
      <c r="G13" s="18">
        <v>364</v>
      </c>
    </row>
    <row r="14" spans="2:7" x14ac:dyDescent="0.25">
      <c r="D14" s="17" t="s">
        <v>83</v>
      </c>
      <c r="E14" s="16">
        <v>267</v>
      </c>
      <c r="F14" s="16">
        <v>58</v>
      </c>
      <c r="G14" s="18">
        <v>325</v>
      </c>
    </row>
    <row r="15" spans="2:7" ht="15.75" thickBot="1" x14ac:dyDescent="0.3">
      <c r="D15" s="19" t="s">
        <v>84</v>
      </c>
      <c r="E15" s="41">
        <v>1064</v>
      </c>
      <c r="F15" s="41">
        <v>274</v>
      </c>
      <c r="G15" s="20">
        <v>1338</v>
      </c>
    </row>
    <row r="17" spans="3:7" ht="15.75" thickBot="1" x14ac:dyDescent="0.3"/>
    <row r="18" spans="3:7" ht="15.75" thickBot="1" x14ac:dyDescent="0.3">
      <c r="D18" s="43" t="s">
        <v>11</v>
      </c>
      <c r="E18" s="44" t="s">
        <v>85</v>
      </c>
      <c r="F18" s="44" t="s">
        <v>86</v>
      </c>
      <c r="G18" s="45" t="s">
        <v>87</v>
      </c>
    </row>
    <row r="19" spans="3:7" x14ac:dyDescent="0.25">
      <c r="D19" s="21" t="s">
        <v>88</v>
      </c>
      <c r="E19" s="42">
        <v>257</v>
      </c>
      <c r="F19" s="42">
        <v>257.64999999999998</v>
      </c>
      <c r="G19" s="22">
        <v>1.6000000000000001E-3</v>
      </c>
    </row>
    <row r="20" spans="3:7" x14ac:dyDescent="0.25">
      <c r="D20" s="17" t="s">
        <v>89</v>
      </c>
      <c r="E20" s="16">
        <v>67</v>
      </c>
      <c r="F20" s="16">
        <v>66.349999999999994</v>
      </c>
      <c r="G20" s="18">
        <v>6.3E-3</v>
      </c>
    </row>
    <row r="21" spans="3:7" x14ac:dyDescent="0.25">
      <c r="D21" s="17" t="s">
        <v>90</v>
      </c>
      <c r="E21" s="16">
        <v>267</v>
      </c>
      <c r="F21" s="16">
        <v>258.45</v>
      </c>
      <c r="G21" s="18">
        <v>0.2878</v>
      </c>
    </row>
    <row r="22" spans="3:7" x14ac:dyDescent="0.25">
      <c r="D22" s="17" t="s">
        <v>91</v>
      </c>
      <c r="E22" s="16">
        <v>58</v>
      </c>
      <c r="F22" s="16">
        <v>66.55</v>
      </c>
      <c r="G22" s="18">
        <v>1.0963000000000001</v>
      </c>
    </row>
    <row r="23" spans="3:7" x14ac:dyDescent="0.25">
      <c r="D23" s="17" t="s">
        <v>92</v>
      </c>
      <c r="E23" s="16">
        <v>273</v>
      </c>
      <c r="F23" s="16">
        <v>289.58</v>
      </c>
      <c r="G23" s="18">
        <v>0.94159999999999999</v>
      </c>
    </row>
    <row r="24" spans="3:7" x14ac:dyDescent="0.25">
      <c r="D24" s="17" t="s">
        <v>93</v>
      </c>
      <c r="E24" s="16">
        <v>91</v>
      </c>
      <c r="F24" s="16">
        <v>74.42</v>
      </c>
      <c r="G24" s="18">
        <v>3.7915000000000001</v>
      </c>
    </row>
    <row r="25" spans="3:7" x14ac:dyDescent="0.25">
      <c r="D25" s="17" t="s">
        <v>94</v>
      </c>
      <c r="E25" s="16">
        <v>267</v>
      </c>
      <c r="F25" s="16">
        <v>258.45</v>
      </c>
      <c r="G25" s="18">
        <v>0.2878</v>
      </c>
    </row>
    <row r="26" spans="3:7" x14ac:dyDescent="0.25">
      <c r="D26" s="17" t="s">
        <v>95</v>
      </c>
      <c r="E26" s="16">
        <v>58</v>
      </c>
      <c r="F26" s="16">
        <v>66.55</v>
      </c>
      <c r="G26" s="18">
        <v>1.0963000000000001</v>
      </c>
    </row>
    <row r="27" spans="3:7" ht="15.75" thickBot="1" x14ac:dyDescent="0.3">
      <c r="D27" s="19" t="s">
        <v>96</v>
      </c>
      <c r="E27" s="41"/>
      <c r="F27" s="41"/>
      <c r="G27" s="20">
        <v>7.5190000000000001</v>
      </c>
    </row>
    <row r="29" spans="3:7" x14ac:dyDescent="0.25">
      <c r="D29" t="s">
        <v>97</v>
      </c>
    </row>
    <row r="30" spans="3:7" x14ac:dyDescent="0.25">
      <c r="D30" t="s">
        <v>98</v>
      </c>
      <c r="E30">
        <f>_xlfn.CHISQ.DIST.RT(G27,3)</f>
        <v>5.7072265198012499E-2</v>
      </c>
    </row>
    <row r="32" spans="3:7" x14ac:dyDescent="0.25">
      <c r="C32" t="s">
        <v>101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342"/>
  <sheetViews>
    <sheetView showGridLines="0" showRowColHeaders="0" zoomScale="120" zoomScaleNormal="120" workbookViewId="0"/>
  </sheetViews>
  <sheetFormatPr defaultRowHeight="15" x14ac:dyDescent="0.25"/>
  <cols>
    <col min="3" max="9" width="15.7109375" customWidth="1"/>
    <col min="10" max="10" width="26.7109375" bestFit="1" customWidth="1"/>
  </cols>
  <sheetData>
    <row r="1" spans="2:14" x14ac:dyDescent="0.25">
      <c r="M1">
        <f>_xlfn.STDEV.P(M5:M1068)</f>
        <v>14977.412277719421</v>
      </c>
      <c r="N1">
        <f>_xlfn.STDEV.P(N5:N278)</f>
        <v>28801.18992162661</v>
      </c>
    </row>
    <row r="2" spans="2:14" ht="21" x14ac:dyDescent="0.35">
      <c r="B2" s="11" t="s">
        <v>16</v>
      </c>
      <c r="M2">
        <f>AVERAGE(M5:M1068)</f>
        <v>21085.675751879699</v>
      </c>
      <c r="N2">
        <f>AVERAGE(N5:N278)</f>
        <v>80125.572992700734</v>
      </c>
    </row>
    <row r="3" spans="2:14" ht="15.75" thickBot="1" x14ac:dyDescent="0.3">
      <c r="M3" t="s">
        <v>36</v>
      </c>
      <c r="N3" t="s">
        <v>10</v>
      </c>
    </row>
    <row r="4" spans="2:14" ht="15.75" thickBot="1" x14ac:dyDescent="0.3">
      <c r="C4" s="8" t="s">
        <v>8</v>
      </c>
      <c r="D4" s="9" t="s">
        <v>9</v>
      </c>
      <c r="E4" s="9" t="s">
        <v>15</v>
      </c>
      <c r="F4" s="9" t="s">
        <v>10</v>
      </c>
      <c r="G4" s="9" t="s">
        <v>11</v>
      </c>
      <c r="H4" s="9" t="s">
        <v>12</v>
      </c>
      <c r="I4" s="9" t="s">
        <v>13</v>
      </c>
      <c r="J4" s="10" t="s">
        <v>14</v>
      </c>
      <c r="M4" t="s">
        <v>14</v>
      </c>
      <c r="N4" t="s">
        <v>14</v>
      </c>
    </row>
    <row r="5" spans="2:14" x14ac:dyDescent="0.25">
      <c r="C5" s="6">
        <v>0</v>
      </c>
      <c r="D5" s="7">
        <v>19</v>
      </c>
      <c r="E5" s="7" t="s">
        <v>0</v>
      </c>
      <c r="F5" s="7" t="s">
        <v>1</v>
      </c>
      <c r="G5" s="7" t="s">
        <v>2</v>
      </c>
      <c r="H5" s="7">
        <v>9.3000000000000007</v>
      </c>
      <c r="I5" s="7">
        <v>0</v>
      </c>
      <c r="J5" s="12">
        <v>42212</v>
      </c>
      <c r="M5">
        <v>4314</v>
      </c>
      <c r="N5">
        <v>42212</v>
      </c>
    </row>
    <row r="6" spans="2:14" x14ac:dyDescent="0.25">
      <c r="C6" s="3">
        <v>1</v>
      </c>
      <c r="D6" s="1">
        <v>18</v>
      </c>
      <c r="E6" s="1" t="s">
        <v>3</v>
      </c>
      <c r="F6" s="1" t="s">
        <v>4</v>
      </c>
      <c r="G6" s="1" t="s">
        <v>5</v>
      </c>
      <c r="H6" s="1">
        <v>11.26</v>
      </c>
      <c r="I6" s="1">
        <v>1</v>
      </c>
      <c r="J6" s="13">
        <v>4314</v>
      </c>
      <c r="M6">
        <v>11124</v>
      </c>
      <c r="N6">
        <v>69522</v>
      </c>
    </row>
    <row r="7" spans="2:14" x14ac:dyDescent="0.25">
      <c r="C7" s="3">
        <v>2</v>
      </c>
      <c r="D7" s="1">
        <v>28</v>
      </c>
      <c r="E7" s="1" t="s">
        <v>3</v>
      </c>
      <c r="F7" s="1" t="s">
        <v>4</v>
      </c>
      <c r="G7" s="1" t="s">
        <v>5</v>
      </c>
      <c r="H7" s="1">
        <v>11</v>
      </c>
      <c r="I7" s="1">
        <v>3</v>
      </c>
      <c r="J7" s="13">
        <v>11124</v>
      </c>
      <c r="M7">
        <v>54961</v>
      </c>
      <c r="N7">
        <v>99029</v>
      </c>
    </row>
    <row r="8" spans="2:14" x14ac:dyDescent="0.25">
      <c r="C8" s="3">
        <v>3</v>
      </c>
      <c r="D8" s="1">
        <v>33</v>
      </c>
      <c r="E8" s="1" t="s">
        <v>3</v>
      </c>
      <c r="F8" s="1" t="s">
        <v>4</v>
      </c>
      <c r="G8" s="1" t="s">
        <v>6</v>
      </c>
      <c r="H8" s="1">
        <v>7.57</v>
      </c>
      <c r="I8" s="1">
        <v>0</v>
      </c>
      <c r="J8" s="13">
        <v>54961</v>
      </c>
      <c r="M8">
        <v>9667</v>
      </c>
      <c r="N8">
        <v>92094</v>
      </c>
    </row>
    <row r="9" spans="2:14" x14ac:dyDescent="0.25">
      <c r="C9" s="3">
        <v>4</v>
      </c>
      <c r="D9" s="1">
        <v>32</v>
      </c>
      <c r="E9" s="1" t="s">
        <v>3</v>
      </c>
      <c r="F9" s="1" t="s">
        <v>4</v>
      </c>
      <c r="G9" s="1" t="s">
        <v>6</v>
      </c>
      <c r="H9" s="1">
        <v>9.6300000000000008</v>
      </c>
      <c r="I9" s="1">
        <v>0</v>
      </c>
      <c r="J9" s="13">
        <v>9667</v>
      </c>
      <c r="M9">
        <v>9392</v>
      </c>
      <c r="N9">
        <v>94255</v>
      </c>
    </row>
    <row r="10" spans="2:14" x14ac:dyDescent="0.25">
      <c r="C10" s="3">
        <v>5</v>
      </c>
      <c r="D10" s="1">
        <v>31</v>
      </c>
      <c r="E10" s="1" t="s">
        <v>0</v>
      </c>
      <c r="F10" s="1" t="s">
        <v>4</v>
      </c>
      <c r="G10" s="1" t="s">
        <v>5</v>
      </c>
      <c r="H10" s="1">
        <v>8.58</v>
      </c>
      <c r="I10" s="1">
        <v>0</v>
      </c>
      <c r="J10" s="13">
        <v>9392</v>
      </c>
      <c r="M10">
        <v>20601</v>
      </c>
      <c r="N10">
        <v>96778</v>
      </c>
    </row>
    <row r="11" spans="2:14" x14ac:dyDescent="0.25">
      <c r="C11" s="3">
        <v>6</v>
      </c>
      <c r="D11" s="1">
        <v>46</v>
      </c>
      <c r="E11" s="1" t="s">
        <v>0</v>
      </c>
      <c r="F11" s="1" t="s">
        <v>4</v>
      </c>
      <c r="G11" s="1" t="s">
        <v>5</v>
      </c>
      <c r="H11" s="1">
        <v>11.15</v>
      </c>
      <c r="I11" s="1">
        <v>1</v>
      </c>
      <c r="J11" s="13">
        <v>20601</v>
      </c>
      <c r="M11">
        <v>18204</v>
      </c>
      <c r="N11">
        <v>88964</v>
      </c>
    </row>
    <row r="12" spans="2:14" x14ac:dyDescent="0.25">
      <c r="C12" s="3">
        <v>7</v>
      </c>
      <c r="D12" s="1">
        <v>37</v>
      </c>
      <c r="E12" s="1" t="s">
        <v>0</v>
      </c>
      <c r="F12" s="1" t="s">
        <v>4</v>
      </c>
      <c r="G12" s="1" t="s">
        <v>6</v>
      </c>
      <c r="H12" s="1">
        <v>9.25</v>
      </c>
      <c r="I12" s="1">
        <v>3</v>
      </c>
      <c r="J12" s="13">
        <v>18204</v>
      </c>
      <c r="M12">
        <v>16016</v>
      </c>
      <c r="N12">
        <v>127986</v>
      </c>
    </row>
    <row r="13" spans="2:14" x14ac:dyDescent="0.25">
      <c r="C13" s="3">
        <v>8</v>
      </c>
      <c r="D13" s="1">
        <v>37</v>
      </c>
      <c r="E13" s="1" t="s">
        <v>3</v>
      </c>
      <c r="F13" s="1" t="s">
        <v>4</v>
      </c>
      <c r="G13" s="1" t="s">
        <v>7</v>
      </c>
      <c r="H13" s="1">
        <v>9.94</v>
      </c>
      <c r="I13" s="1">
        <v>2</v>
      </c>
      <c r="J13" s="13">
        <v>16016</v>
      </c>
      <c r="M13">
        <v>72308</v>
      </c>
      <c r="N13">
        <v>99436</v>
      </c>
    </row>
    <row r="14" spans="2:14" x14ac:dyDescent="0.25">
      <c r="C14" s="3">
        <v>9</v>
      </c>
      <c r="D14" s="1">
        <v>60</v>
      </c>
      <c r="E14" s="1" t="s">
        <v>0</v>
      </c>
      <c r="F14" s="1" t="s">
        <v>4</v>
      </c>
      <c r="G14" s="1" t="s">
        <v>6</v>
      </c>
      <c r="H14" s="1">
        <v>8.61</v>
      </c>
      <c r="I14" s="1">
        <v>0</v>
      </c>
      <c r="J14" s="13">
        <v>72308</v>
      </c>
      <c r="M14">
        <v>6803</v>
      </c>
      <c r="N14">
        <v>120433</v>
      </c>
    </row>
    <row r="15" spans="2:14" x14ac:dyDescent="0.25">
      <c r="C15" s="3">
        <v>10</v>
      </c>
      <c r="D15" s="1">
        <v>25</v>
      </c>
      <c r="E15" s="1" t="s">
        <v>3</v>
      </c>
      <c r="F15" s="1" t="s">
        <v>4</v>
      </c>
      <c r="G15" s="1" t="s">
        <v>7</v>
      </c>
      <c r="H15" s="1">
        <v>8.74</v>
      </c>
      <c r="I15" s="1">
        <v>0</v>
      </c>
      <c r="J15" s="13">
        <v>6803</v>
      </c>
      <c r="M15">
        <v>4567</v>
      </c>
      <c r="N15">
        <v>96773</v>
      </c>
    </row>
    <row r="16" spans="2:14" x14ac:dyDescent="0.25">
      <c r="C16" s="3">
        <v>11</v>
      </c>
      <c r="D16" s="1">
        <v>62</v>
      </c>
      <c r="E16" s="1" t="s">
        <v>0</v>
      </c>
      <c r="F16" s="1" t="s">
        <v>1</v>
      </c>
      <c r="G16" s="1" t="s">
        <v>5</v>
      </c>
      <c r="H16" s="1">
        <v>8.76</v>
      </c>
      <c r="I16" s="1">
        <v>0</v>
      </c>
      <c r="J16" s="13">
        <v>69522</v>
      </c>
      <c r="M16">
        <v>27727</v>
      </c>
      <c r="N16">
        <v>58921</v>
      </c>
    </row>
    <row r="17" spans="3:14" x14ac:dyDescent="0.25">
      <c r="C17" s="3">
        <v>12</v>
      </c>
      <c r="D17" s="1">
        <v>23</v>
      </c>
      <c r="E17" s="1" t="s">
        <v>3</v>
      </c>
      <c r="F17" s="1" t="s">
        <v>4</v>
      </c>
      <c r="G17" s="1" t="s">
        <v>2</v>
      </c>
      <c r="H17" s="1">
        <v>11.47</v>
      </c>
      <c r="I17" s="1">
        <v>0</v>
      </c>
      <c r="J17" s="13">
        <v>4567</v>
      </c>
      <c r="M17">
        <v>4593</v>
      </c>
      <c r="N17">
        <v>94356</v>
      </c>
    </row>
    <row r="18" spans="3:14" x14ac:dyDescent="0.25">
      <c r="C18" s="3">
        <v>13</v>
      </c>
      <c r="D18" s="1">
        <v>56</v>
      </c>
      <c r="E18" s="1" t="s">
        <v>0</v>
      </c>
      <c r="F18" s="1" t="s">
        <v>4</v>
      </c>
      <c r="G18" s="1" t="s">
        <v>5</v>
      </c>
      <c r="H18" s="1">
        <v>13.27</v>
      </c>
      <c r="I18" s="1">
        <v>0</v>
      </c>
      <c r="J18" s="13">
        <v>27727</v>
      </c>
      <c r="M18">
        <v>26993</v>
      </c>
      <c r="N18">
        <v>118741</v>
      </c>
    </row>
    <row r="19" spans="3:14" x14ac:dyDescent="0.25">
      <c r="C19" s="3">
        <v>14</v>
      </c>
      <c r="D19" s="1">
        <v>27</v>
      </c>
      <c r="E19" s="1" t="s">
        <v>3</v>
      </c>
      <c r="F19" s="1" t="s">
        <v>1</v>
      </c>
      <c r="G19" s="1" t="s">
        <v>5</v>
      </c>
      <c r="H19" s="1">
        <v>14.04</v>
      </c>
      <c r="I19" s="1">
        <v>0</v>
      </c>
      <c r="J19" s="13">
        <v>99029</v>
      </c>
      <c r="M19">
        <v>5988</v>
      </c>
      <c r="N19">
        <v>85758</v>
      </c>
    </row>
    <row r="20" spans="3:14" x14ac:dyDescent="0.25">
      <c r="C20" s="3">
        <v>15</v>
      </c>
      <c r="D20" s="1">
        <v>19</v>
      </c>
      <c r="E20" s="1" t="s">
        <v>3</v>
      </c>
      <c r="F20" s="1" t="s">
        <v>4</v>
      </c>
      <c r="G20" s="1" t="s">
        <v>2</v>
      </c>
      <c r="H20" s="1">
        <v>8.1999999999999993</v>
      </c>
      <c r="I20" s="1">
        <v>1</v>
      </c>
      <c r="J20" s="13">
        <v>4593</v>
      </c>
      <c r="M20">
        <v>26506</v>
      </c>
      <c r="N20">
        <v>58112</v>
      </c>
    </row>
    <row r="21" spans="3:14" x14ac:dyDescent="0.25">
      <c r="C21" s="3">
        <v>16</v>
      </c>
      <c r="D21" s="1">
        <v>52</v>
      </c>
      <c r="E21" s="1" t="s">
        <v>0</v>
      </c>
      <c r="F21" s="1" t="s">
        <v>4</v>
      </c>
      <c r="G21" s="1" t="s">
        <v>7</v>
      </c>
      <c r="H21" s="1">
        <v>10.26</v>
      </c>
      <c r="I21" s="1">
        <v>1</v>
      </c>
      <c r="J21" s="13">
        <v>26993</v>
      </c>
      <c r="M21">
        <v>33072</v>
      </c>
      <c r="N21">
        <v>36779</v>
      </c>
    </row>
    <row r="22" spans="3:14" x14ac:dyDescent="0.25">
      <c r="C22" s="3">
        <v>17</v>
      </c>
      <c r="D22" s="1">
        <v>23</v>
      </c>
      <c r="E22" s="1" t="s">
        <v>3</v>
      </c>
      <c r="F22" s="1" t="s">
        <v>4</v>
      </c>
      <c r="G22" s="1" t="s">
        <v>7</v>
      </c>
      <c r="H22" s="1">
        <v>7.95</v>
      </c>
      <c r="I22" s="1">
        <v>0</v>
      </c>
      <c r="J22" s="13">
        <v>5988</v>
      </c>
      <c r="M22">
        <v>10374</v>
      </c>
      <c r="N22">
        <v>44158</v>
      </c>
    </row>
    <row r="23" spans="3:14" x14ac:dyDescent="0.25">
      <c r="C23" s="3">
        <v>18</v>
      </c>
      <c r="D23" s="1">
        <v>56</v>
      </c>
      <c r="E23" s="1" t="s">
        <v>3</v>
      </c>
      <c r="F23" s="1" t="s">
        <v>4</v>
      </c>
      <c r="G23" s="1" t="s">
        <v>2</v>
      </c>
      <c r="H23" s="1">
        <v>13.43</v>
      </c>
      <c r="I23" s="1">
        <v>0</v>
      </c>
      <c r="J23" s="13">
        <v>26506</v>
      </c>
      <c r="M23">
        <v>2843</v>
      </c>
      <c r="N23">
        <v>41444</v>
      </c>
    </row>
    <row r="24" spans="3:14" x14ac:dyDescent="0.25">
      <c r="C24" s="3">
        <v>19</v>
      </c>
      <c r="D24" s="1">
        <v>30</v>
      </c>
      <c r="E24" s="1" t="s">
        <v>3</v>
      </c>
      <c r="F24" s="1" t="s">
        <v>1</v>
      </c>
      <c r="G24" s="1" t="s">
        <v>2</v>
      </c>
      <c r="H24" s="1">
        <v>11.77</v>
      </c>
      <c r="I24" s="1">
        <v>0</v>
      </c>
      <c r="J24" s="13">
        <v>92094</v>
      </c>
      <c r="M24">
        <v>15510</v>
      </c>
      <c r="N24">
        <v>92913</v>
      </c>
    </row>
    <row r="25" spans="3:14" x14ac:dyDescent="0.25">
      <c r="C25" s="3">
        <v>20</v>
      </c>
      <c r="D25" s="1">
        <v>60</v>
      </c>
      <c r="E25" s="1" t="s">
        <v>0</v>
      </c>
      <c r="F25" s="1" t="s">
        <v>4</v>
      </c>
      <c r="G25" s="1" t="s">
        <v>7</v>
      </c>
      <c r="H25" s="1">
        <v>12</v>
      </c>
      <c r="I25" s="1">
        <v>0</v>
      </c>
      <c r="J25" s="13">
        <v>33072</v>
      </c>
      <c r="M25">
        <v>35003</v>
      </c>
      <c r="N25">
        <v>99591</v>
      </c>
    </row>
    <row r="26" spans="3:14" x14ac:dyDescent="0.25">
      <c r="C26" s="3">
        <v>21</v>
      </c>
      <c r="D26" s="1">
        <v>30</v>
      </c>
      <c r="E26" s="1" t="s">
        <v>0</v>
      </c>
      <c r="F26" s="1" t="s">
        <v>4</v>
      </c>
      <c r="G26" s="1" t="s">
        <v>2</v>
      </c>
      <c r="H26" s="1">
        <v>10.8</v>
      </c>
      <c r="I26" s="1">
        <v>1</v>
      </c>
      <c r="J26" s="13">
        <v>10374</v>
      </c>
      <c r="M26">
        <v>36130</v>
      </c>
      <c r="N26">
        <v>52746</v>
      </c>
    </row>
    <row r="27" spans="3:14" x14ac:dyDescent="0.25">
      <c r="C27" s="3">
        <v>22</v>
      </c>
      <c r="D27" s="1">
        <v>18</v>
      </c>
      <c r="E27" s="1" t="s">
        <v>3</v>
      </c>
      <c r="F27" s="1" t="s">
        <v>4</v>
      </c>
      <c r="G27" s="1" t="s">
        <v>5</v>
      </c>
      <c r="H27" s="1">
        <v>11.37</v>
      </c>
      <c r="I27" s="1">
        <v>0</v>
      </c>
      <c r="J27" s="13">
        <v>2843</v>
      </c>
      <c r="M27">
        <v>30672</v>
      </c>
      <c r="N27">
        <v>108947</v>
      </c>
    </row>
    <row r="28" spans="3:14" x14ac:dyDescent="0.25">
      <c r="C28" s="3">
        <v>23</v>
      </c>
      <c r="D28" s="1">
        <v>34</v>
      </c>
      <c r="E28" s="1" t="s">
        <v>0</v>
      </c>
      <c r="F28" s="1" t="s">
        <v>1</v>
      </c>
      <c r="G28" s="1" t="s">
        <v>7</v>
      </c>
      <c r="H28" s="1">
        <v>10.64</v>
      </c>
      <c r="I28" s="1">
        <v>1</v>
      </c>
      <c r="J28" s="13">
        <v>94255</v>
      </c>
      <c r="M28">
        <v>6938</v>
      </c>
      <c r="N28">
        <v>75462</v>
      </c>
    </row>
    <row r="29" spans="3:14" x14ac:dyDescent="0.25">
      <c r="C29" s="3">
        <v>24</v>
      </c>
      <c r="D29" s="1">
        <v>37</v>
      </c>
      <c r="E29" s="1" t="s">
        <v>3</v>
      </c>
      <c r="F29" s="1" t="s">
        <v>4</v>
      </c>
      <c r="G29" s="1" t="s">
        <v>6</v>
      </c>
      <c r="H29" s="1">
        <v>9.34</v>
      </c>
      <c r="I29" s="1">
        <v>2</v>
      </c>
      <c r="J29" s="13">
        <v>15510</v>
      </c>
      <c r="M29">
        <v>5495</v>
      </c>
      <c r="N29">
        <v>118228</v>
      </c>
    </row>
    <row r="30" spans="3:14" x14ac:dyDescent="0.25">
      <c r="C30" s="3">
        <v>25</v>
      </c>
      <c r="D30" s="1">
        <v>59</v>
      </c>
      <c r="E30" s="1" t="s">
        <v>0</v>
      </c>
      <c r="F30" s="1" t="s">
        <v>4</v>
      </c>
      <c r="G30" s="1" t="s">
        <v>5</v>
      </c>
      <c r="H30" s="1">
        <v>9.24</v>
      </c>
      <c r="I30" s="1">
        <v>3</v>
      </c>
      <c r="J30" s="13">
        <v>35003</v>
      </c>
      <c r="M30">
        <v>11719</v>
      </c>
      <c r="N30">
        <v>56032</v>
      </c>
    </row>
    <row r="31" spans="3:14" x14ac:dyDescent="0.25">
      <c r="C31" s="3">
        <v>26</v>
      </c>
      <c r="D31" s="1">
        <v>63</v>
      </c>
      <c r="E31" s="1" t="s">
        <v>0</v>
      </c>
      <c r="F31" s="1" t="s">
        <v>4</v>
      </c>
      <c r="G31" s="1" t="s">
        <v>7</v>
      </c>
      <c r="H31" s="1">
        <v>7.7</v>
      </c>
      <c r="I31" s="1">
        <v>0</v>
      </c>
      <c r="J31" s="13">
        <v>36130</v>
      </c>
      <c r="M31">
        <v>34425</v>
      </c>
      <c r="N31">
        <v>39552</v>
      </c>
    </row>
    <row r="32" spans="3:14" x14ac:dyDescent="0.25">
      <c r="C32" s="3">
        <v>27</v>
      </c>
      <c r="D32" s="1">
        <v>55</v>
      </c>
      <c r="E32" s="1" t="s">
        <v>0</v>
      </c>
      <c r="F32" s="1" t="s">
        <v>4</v>
      </c>
      <c r="G32" s="1" t="s">
        <v>6</v>
      </c>
      <c r="H32" s="1">
        <v>10.92</v>
      </c>
      <c r="I32" s="1">
        <v>2</v>
      </c>
      <c r="J32" s="13">
        <v>30672</v>
      </c>
      <c r="M32">
        <v>4064</v>
      </c>
      <c r="N32">
        <v>77355</v>
      </c>
    </row>
    <row r="33" spans="3:14" x14ac:dyDescent="0.25">
      <c r="C33" s="3">
        <v>28</v>
      </c>
      <c r="D33" s="1">
        <v>23</v>
      </c>
      <c r="E33" s="1" t="s">
        <v>3</v>
      </c>
      <c r="F33" s="1" t="s">
        <v>4</v>
      </c>
      <c r="G33" s="1" t="s">
        <v>6</v>
      </c>
      <c r="H33" s="1">
        <v>5.8</v>
      </c>
      <c r="I33" s="1">
        <v>1</v>
      </c>
      <c r="J33" s="13">
        <v>6938</v>
      </c>
      <c r="M33">
        <v>39030</v>
      </c>
      <c r="N33">
        <v>43901</v>
      </c>
    </row>
    <row r="34" spans="3:14" x14ac:dyDescent="0.25">
      <c r="C34" s="3">
        <v>29</v>
      </c>
      <c r="D34" s="1">
        <v>31</v>
      </c>
      <c r="E34" s="1" t="s">
        <v>3</v>
      </c>
      <c r="F34" s="1" t="s">
        <v>1</v>
      </c>
      <c r="G34" s="1" t="s">
        <v>2</v>
      </c>
      <c r="H34" s="1">
        <v>12.1</v>
      </c>
      <c r="I34" s="1">
        <v>2</v>
      </c>
      <c r="J34" s="13">
        <v>96778</v>
      </c>
      <c r="M34">
        <v>5756</v>
      </c>
      <c r="N34">
        <v>117639</v>
      </c>
    </row>
    <row r="35" spans="3:14" x14ac:dyDescent="0.25">
      <c r="C35" s="3">
        <v>30</v>
      </c>
      <c r="D35" s="1">
        <v>22</v>
      </c>
      <c r="E35" s="1" t="s">
        <v>3</v>
      </c>
      <c r="F35" s="1" t="s">
        <v>1</v>
      </c>
      <c r="G35" s="1" t="s">
        <v>2</v>
      </c>
      <c r="H35" s="1">
        <v>11.87</v>
      </c>
      <c r="I35" s="1">
        <v>0</v>
      </c>
      <c r="J35" s="13">
        <v>88964</v>
      </c>
      <c r="M35">
        <v>7615</v>
      </c>
      <c r="N35">
        <v>47769</v>
      </c>
    </row>
    <row r="36" spans="3:14" x14ac:dyDescent="0.25">
      <c r="C36" s="3">
        <v>31</v>
      </c>
      <c r="D36" s="1">
        <v>18</v>
      </c>
      <c r="E36" s="1" t="s">
        <v>0</v>
      </c>
      <c r="F36" s="1" t="s">
        <v>4</v>
      </c>
      <c r="G36" s="1" t="s">
        <v>7</v>
      </c>
      <c r="H36" s="1">
        <v>8.77</v>
      </c>
      <c r="I36" s="1">
        <v>0</v>
      </c>
      <c r="J36" s="13">
        <v>5495</v>
      </c>
      <c r="M36">
        <v>12374</v>
      </c>
      <c r="N36">
        <v>98891</v>
      </c>
    </row>
    <row r="37" spans="3:14" x14ac:dyDescent="0.25">
      <c r="C37" s="3">
        <v>32</v>
      </c>
      <c r="D37" s="1">
        <v>19</v>
      </c>
      <c r="E37" s="1" t="s">
        <v>0</v>
      </c>
      <c r="F37" s="1" t="s">
        <v>4</v>
      </c>
      <c r="G37" s="1" t="s">
        <v>2</v>
      </c>
      <c r="H37" s="1">
        <v>9.5299999999999994</v>
      </c>
      <c r="I37" s="1">
        <v>5</v>
      </c>
      <c r="J37" s="13">
        <v>11719</v>
      </c>
      <c r="M37">
        <v>15681</v>
      </c>
      <c r="N37">
        <v>42703</v>
      </c>
    </row>
    <row r="38" spans="3:14" x14ac:dyDescent="0.25">
      <c r="C38" s="3">
        <v>33</v>
      </c>
      <c r="D38" s="1">
        <v>63</v>
      </c>
      <c r="E38" s="1" t="s">
        <v>3</v>
      </c>
      <c r="F38" s="1" t="s">
        <v>4</v>
      </c>
      <c r="G38" s="1" t="s">
        <v>6</v>
      </c>
      <c r="H38" s="1">
        <v>9.44</v>
      </c>
      <c r="I38" s="1">
        <v>0</v>
      </c>
      <c r="J38" s="13">
        <v>34425</v>
      </c>
      <c r="M38">
        <v>15784</v>
      </c>
      <c r="N38">
        <v>81835</v>
      </c>
    </row>
    <row r="39" spans="3:14" x14ac:dyDescent="0.25">
      <c r="C39" s="3">
        <v>34</v>
      </c>
      <c r="D39" s="1">
        <v>28</v>
      </c>
      <c r="E39" s="1" t="s">
        <v>3</v>
      </c>
      <c r="F39" s="1" t="s">
        <v>1</v>
      </c>
      <c r="G39" s="1" t="s">
        <v>2</v>
      </c>
      <c r="H39" s="1">
        <v>12.13</v>
      </c>
      <c r="I39" s="1">
        <v>1</v>
      </c>
      <c r="J39" s="13">
        <v>127986</v>
      </c>
      <c r="M39">
        <v>15199</v>
      </c>
      <c r="N39">
        <v>47431</v>
      </c>
    </row>
    <row r="40" spans="3:14" x14ac:dyDescent="0.25">
      <c r="C40" s="3">
        <v>35</v>
      </c>
      <c r="D40" s="1">
        <v>19</v>
      </c>
      <c r="E40" s="1" t="s">
        <v>3</v>
      </c>
      <c r="F40" s="1" t="s">
        <v>4</v>
      </c>
      <c r="G40" s="1" t="s">
        <v>6</v>
      </c>
      <c r="H40" s="1">
        <v>6.81</v>
      </c>
      <c r="I40" s="1">
        <v>0</v>
      </c>
      <c r="J40" s="13">
        <v>4064</v>
      </c>
      <c r="M40">
        <v>51576</v>
      </c>
      <c r="N40">
        <v>51865</v>
      </c>
    </row>
    <row r="41" spans="3:14" x14ac:dyDescent="0.25">
      <c r="C41" s="3">
        <v>36</v>
      </c>
      <c r="D41" s="1">
        <v>62</v>
      </c>
      <c r="E41" s="1" t="s">
        <v>0</v>
      </c>
      <c r="F41" s="1" t="s">
        <v>4</v>
      </c>
      <c r="G41" s="1" t="s">
        <v>6</v>
      </c>
      <c r="H41" s="1">
        <v>10.99</v>
      </c>
      <c r="I41" s="1">
        <v>3</v>
      </c>
      <c r="J41" s="13">
        <v>39030</v>
      </c>
      <c r="M41">
        <v>8483</v>
      </c>
      <c r="N41">
        <v>101801</v>
      </c>
    </row>
    <row r="42" spans="3:14" x14ac:dyDescent="0.25">
      <c r="C42" s="3">
        <v>37</v>
      </c>
      <c r="D42" s="1">
        <v>26</v>
      </c>
      <c r="E42" s="1" t="s">
        <v>3</v>
      </c>
      <c r="F42" s="1" t="s">
        <v>4</v>
      </c>
      <c r="G42" s="1" t="s">
        <v>2</v>
      </c>
      <c r="H42" s="1">
        <v>6.93</v>
      </c>
      <c r="I42" s="1">
        <v>0</v>
      </c>
      <c r="J42" s="13">
        <v>5756</v>
      </c>
      <c r="M42">
        <v>8892</v>
      </c>
      <c r="N42">
        <v>49912</v>
      </c>
    </row>
    <row r="43" spans="3:14" x14ac:dyDescent="0.25">
      <c r="C43" s="3">
        <v>38</v>
      </c>
      <c r="D43" s="1">
        <v>35</v>
      </c>
      <c r="E43" s="1" t="s">
        <v>3</v>
      </c>
      <c r="F43" s="1" t="s">
        <v>1</v>
      </c>
      <c r="G43" s="1" t="s">
        <v>7</v>
      </c>
      <c r="H43" s="1">
        <v>12.22</v>
      </c>
      <c r="I43" s="1">
        <v>1</v>
      </c>
      <c r="J43" s="13">
        <v>99436</v>
      </c>
      <c r="M43">
        <v>31575</v>
      </c>
      <c r="N43">
        <v>53059</v>
      </c>
    </row>
    <row r="44" spans="3:14" x14ac:dyDescent="0.25">
      <c r="C44" s="3">
        <v>39</v>
      </c>
      <c r="D44" s="1">
        <v>60</v>
      </c>
      <c r="E44" s="1" t="s">
        <v>3</v>
      </c>
      <c r="F44" s="1" t="s">
        <v>1</v>
      </c>
      <c r="G44" s="1" t="s">
        <v>2</v>
      </c>
      <c r="H44" s="1">
        <v>13.3</v>
      </c>
      <c r="I44" s="1">
        <v>0</v>
      </c>
      <c r="J44" s="13">
        <v>120433</v>
      </c>
      <c r="M44">
        <v>5528</v>
      </c>
      <c r="N44">
        <v>38795</v>
      </c>
    </row>
    <row r="45" spans="3:14" x14ac:dyDescent="0.25">
      <c r="C45" s="3">
        <v>40</v>
      </c>
      <c r="D45" s="1">
        <v>24</v>
      </c>
      <c r="E45" s="1" t="s">
        <v>0</v>
      </c>
      <c r="F45" s="1" t="s">
        <v>4</v>
      </c>
      <c r="G45" s="1" t="s">
        <v>7</v>
      </c>
      <c r="H45" s="1">
        <v>8.8699999999999992</v>
      </c>
      <c r="I45" s="1">
        <v>0</v>
      </c>
      <c r="J45" s="13">
        <v>7615</v>
      </c>
      <c r="M45">
        <v>8950</v>
      </c>
      <c r="N45">
        <v>92376</v>
      </c>
    </row>
    <row r="46" spans="3:14" x14ac:dyDescent="0.25">
      <c r="C46" s="3">
        <v>41</v>
      </c>
      <c r="D46" s="1">
        <v>31</v>
      </c>
      <c r="E46" s="1" t="s">
        <v>0</v>
      </c>
      <c r="F46" s="1" t="s">
        <v>4</v>
      </c>
      <c r="G46" s="1" t="s">
        <v>5</v>
      </c>
      <c r="H46" s="1">
        <v>12.21</v>
      </c>
      <c r="I46" s="1">
        <v>2</v>
      </c>
      <c r="J46" s="13">
        <v>12374</v>
      </c>
      <c r="M46">
        <v>20149</v>
      </c>
      <c r="N46">
        <v>53372</v>
      </c>
    </row>
    <row r="47" spans="3:14" x14ac:dyDescent="0.25">
      <c r="C47" s="3">
        <v>42</v>
      </c>
      <c r="D47" s="1">
        <v>41</v>
      </c>
      <c r="E47" s="1" t="s">
        <v>3</v>
      </c>
      <c r="F47" s="1" t="s">
        <v>4</v>
      </c>
      <c r="G47" s="1" t="s">
        <v>5</v>
      </c>
      <c r="H47" s="1">
        <v>7.26</v>
      </c>
      <c r="I47" s="1">
        <v>1</v>
      </c>
      <c r="J47" s="13">
        <v>15681</v>
      </c>
      <c r="M47">
        <v>34018</v>
      </c>
      <c r="N47">
        <v>90374</v>
      </c>
    </row>
    <row r="48" spans="3:14" x14ac:dyDescent="0.25">
      <c r="C48" s="3">
        <v>43</v>
      </c>
      <c r="D48" s="1">
        <v>37</v>
      </c>
      <c r="E48" s="1" t="s">
        <v>0</v>
      </c>
      <c r="F48" s="1" t="s">
        <v>4</v>
      </c>
      <c r="G48" s="1" t="s">
        <v>5</v>
      </c>
      <c r="H48" s="1">
        <v>10.27</v>
      </c>
      <c r="I48" s="1">
        <v>2</v>
      </c>
      <c r="J48" s="13">
        <v>15784</v>
      </c>
      <c r="M48">
        <v>14974</v>
      </c>
      <c r="N48">
        <v>122061</v>
      </c>
    </row>
    <row r="49" spans="3:14" x14ac:dyDescent="0.25">
      <c r="C49" s="3">
        <v>44</v>
      </c>
      <c r="D49" s="1">
        <v>38</v>
      </c>
      <c r="E49" s="1" t="s">
        <v>3</v>
      </c>
      <c r="F49" s="1" t="s">
        <v>4</v>
      </c>
      <c r="G49" s="1" t="s">
        <v>7</v>
      </c>
      <c r="H49" s="1">
        <v>12.35</v>
      </c>
      <c r="I49" s="1">
        <v>1</v>
      </c>
      <c r="J49" s="13">
        <v>15199</v>
      </c>
      <c r="M49">
        <v>21516</v>
      </c>
      <c r="N49">
        <v>109383</v>
      </c>
    </row>
    <row r="50" spans="3:14" x14ac:dyDescent="0.25">
      <c r="C50" s="3">
        <v>45</v>
      </c>
      <c r="D50" s="1">
        <v>55</v>
      </c>
      <c r="E50" s="1" t="s">
        <v>3</v>
      </c>
      <c r="F50" s="1" t="s">
        <v>4</v>
      </c>
      <c r="G50" s="1" t="s">
        <v>2</v>
      </c>
      <c r="H50" s="1">
        <v>12.43</v>
      </c>
      <c r="I50" s="1">
        <v>0</v>
      </c>
      <c r="J50" s="13">
        <v>51576</v>
      </c>
      <c r="M50">
        <v>11262</v>
      </c>
      <c r="N50">
        <v>92835</v>
      </c>
    </row>
    <row r="51" spans="3:14" x14ac:dyDescent="0.25">
      <c r="C51" s="3">
        <v>46</v>
      </c>
      <c r="D51" s="1">
        <v>18</v>
      </c>
      <c r="E51" s="1" t="s">
        <v>0</v>
      </c>
      <c r="F51" s="1" t="s">
        <v>4</v>
      </c>
      <c r="G51" s="1" t="s">
        <v>7</v>
      </c>
      <c r="H51" s="1">
        <v>12.89</v>
      </c>
      <c r="I51" s="1">
        <v>2</v>
      </c>
      <c r="J51" s="13">
        <v>8483</v>
      </c>
      <c r="M51">
        <v>75417</v>
      </c>
      <c r="N51">
        <v>52460</v>
      </c>
    </row>
    <row r="52" spans="3:14" x14ac:dyDescent="0.25">
      <c r="C52" s="3">
        <v>47</v>
      </c>
      <c r="D52" s="1">
        <v>28</v>
      </c>
      <c r="E52" s="1" t="s">
        <v>0</v>
      </c>
      <c r="F52" s="1" t="s">
        <v>4</v>
      </c>
      <c r="G52" s="1" t="s">
        <v>6</v>
      </c>
      <c r="H52" s="1">
        <v>11.59</v>
      </c>
      <c r="I52" s="1">
        <v>0</v>
      </c>
      <c r="J52" s="13">
        <v>8892</v>
      </c>
      <c r="M52">
        <v>10334</v>
      </c>
      <c r="N52">
        <v>86949</v>
      </c>
    </row>
    <row r="53" spans="3:14" x14ac:dyDescent="0.25">
      <c r="C53" s="3">
        <v>48</v>
      </c>
      <c r="D53" s="1">
        <v>60</v>
      </c>
      <c r="E53" s="1" t="s">
        <v>0</v>
      </c>
      <c r="F53" s="1" t="s">
        <v>4</v>
      </c>
      <c r="G53" s="1" t="s">
        <v>5</v>
      </c>
      <c r="H53" s="1">
        <v>8.18</v>
      </c>
      <c r="I53" s="1">
        <v>0</v>
      </c>
      <c r="J53" s="13">
        <v>31575</v>
      </c>
      <c r="M53">
        <v>4358</v>
      </c>
      <c r="N53">
        <v>48789</v>
      </c>
    </row>
    <row r="54" spans="3:14" x14ac:dyDescent="0.25">
      <c r="C54" s="3">
        <v>49</v>
      </c>
      <c r="D54" s="1">
        <v>36</v>
      </c>
      <c r="E54" s="1" t="s">
        <v>3</v>
      </c>
      <c r="F54" s="1" t="s">
        <v>1</v>
      </c>
      <c r="G54" s="1" t="s">
        <v>5</v>
      </c>
      <c r="H54" s="1">
        <v>11.73</v>
      </c>
      <c r="I54" s="1">
        <v>1</v>
      </c>
      <c r="J54" s="13">
        <v>96773</v>
      </c>
      <c r="M54">
        <v>35588</v>
      </c>
      <c r="N54">
        <v>48611</v>
      </c>
    </row>
    <row r="55" spans="3:14" x14ac:dyDescent="0.25">
      <c r="C55" s="3">
        <v>50</v>
      </c>
      <c r="D55" s="1">
        <v>18</v>
      </c>
      <c r="E55" s="1" t="s">
        <v>0</v>
      </c>
      <c r="F55" s="1" t="s">
        <v>4</v>
      </c>
      <c r="G55" s="1" t="s">
        <v>7</v>
      </c>
      <c r="H55" s="1">
        <v>11.88</v>
      </c>
      <c r="I55" s="1">
        <v>0</v>
      </c>
      <c r="J55" s="13">
        <v>5528</v>
      </c>
      <c r="M55">
        <v>15973</v>
      </c>
      <c r="N55">
        <v>43382</v>
      </c>
    </row>
    <row r="56" spans="3:14" x14ac:dyDescent="0.25">
      <c r="C56" s="3">
        <v>51</v>
      </c>
      <c r="D56" s="1">
        <v>21</v>
      </c>
      <c r="E56" s="1" t="s">
        <v>0</v>
      </c>
      <c r="F56" s="1" t="s">
        <v>4</v>
      </c>
      <c r="G56" s="1" t="s">
        <v>6</v>
      </c>
      <c r="H56" s="1">
        <v>11.21</v>
      </c>
      <c r="I56" s="1">
        <v>2</v>
      </c>
      <c r="J56" s="13">
        <v>8950</v>
      </c>
      <c r="M56">
        <v>14800</v>
      </c>
      <c r="N56">
        <v>96279</v>
      </c>
    </row>
    <row r="57" spans="3:14" x14ac:dyDescent="0.25">
      <c r="C57" s="3">
        <v>52</v>
      </c>
      <c r="D57" s="1">
        <v>48</v>
      </c>
      <c r="E57" s="1" t="s">
        <v>3</v>
      </c>
      <c r="F57" s="1" t="s">
        <v>1</v>
      </c>
      <c r="G57" s="1" t="s">
        <v>2</v>
      </c>
      <c r="H57" s="1">
        <v>9.33</v>
      </c>
      <c r="I57" s="1">
        <v>1</v>
      </c>
      <c r="J57" s="13">
        <v>58921</v>
      </c>
      <c r="M57">
        <v>16999</v>
      </c>
      <c r="N57">
        <v>73808</v>
      </c>
    </row>
    <row r="58" spans="3:14" x14ac:dyDescent="0.25">
      <c r="C58" s="3">
        <v>53</v>
      </c>
      <c r="D58" s="1">
        <v>36</v>
      </c>
      <c r="E58" s="1" t="s">
        <v>3</v>
      </c>
      <c r="F58" s="1" t="s">
        <v>1</v>
      </c>
      <c r="G58" s="1" t="s">
        <v>5</v>
      </c>
      <c r="H58" s="1">
        <v>11.48</v>
      </c>
      <c r="I58" s="1">
        <v>0</v>
      </c>
      <c r="J58" s="13">
        <v>94356</v>
      </c>
      <c r="M58">
        <v>29354</v>
      </c>
      <c r="N58">
        <v>32074</v>
      </c>
    </row>
    <row r="59" spans="3:14" x14ac:dyDescent="0.25">
      <c r="C59" s="3">
        <v>54</v>
      </c>
      <c r="D59" s="1">
        <v>40</v>
      </c>
      <c r="E59" s="1" t="s">
        <v>0</v>
      </c>
      <c r="F59" s="1" t="s">
        <v>4</v>
      </c>
      <c r="G59" s="1" t="s">
        <v>6</v>
      </c>
      <c r="H59" s="1">
        <v>9.56</v>
      </c>
      <c r="I59" s="1">
        <v>3</v>
      </c>
      <c r="J59" s="13">
        <v>20149</v>
      </c>
      <c r="M59">
        <v>29867</v>
      </c>
      <c r="N59">
        <v>118263</v>
      </c>
    </row>
    <row r="60" spans="3:14" x14ac:dyDescent="0.25">
      <c r="C60" s="3">
        <v>55</v>
      </c>
      <c r="D60" s="1">
        <v>58</v>
      </c>
      <c r="E60" s="1" t="s">
        <v>3</v>
      </c>
      <c r="F60" s="1" t="s">
        <v>1</v>
      </c>
      <c r="G60" s="1" t="s">
        <v>6</v>
      </c>
      <c r="H60" s="1">
        <v>12.32</v>
      </c>
      <c r="I60" s="1">
        <v>2</v>
      </c>
      <c r="J60" s="13">
        <v>118741</v>
      </c>
      <c r="M60">
        <v>19317</v>
      </c>
      <c r="N60">
        <v>110652</v>
      </c>
    </row>
    <row r="61" spans="3:14" x14ac:dyDescent="0.25">
      <c r="C61" s="3">
        <v>56</v>
      </c>
      <c r="D61" s="1">
        <v>58</v>
      </c>
      <c r="E61" s="1" t="s">
        <v>0</v>
      </c>
      <c r="F61" s="1" t="s">
        <v>4</v>
      </c>
      <c r="G61" s="1" t="s">
        <v>7</v>
      </c>
      <c r="H61" s="1">
        <v>10.61</v>
      </c>
      <c r="I61" s="1">
        <v>2</v>
      </c>
      <c r="J61" s="13">
        <v>34018</v>
      </c>
      <c r="M61">
        <v>28392</v>
      </c>
      <c r="N61">
        <v>102743</v>
      </c>
    </row>
    <row r="62" spans="3:14" x14ac:dyDescent="0.25">
      <c r="C62" s="3">
        <v>57</v>
      </c>
      <c r="D62" s="1">
        <v>18</v>
      </c>
      <c r="E62" s="1" t="s">
        <v>3</v>
      </c>
      <c r="F62" s="1" t="s">
        <v>1</v>
      </c>
      <c r="G62" s="1" t="s">
        <v>5</v>
      </c>
      <c r="H62" s="1">
        <v>10.56</v>
      </c>
      <c r="I62" s="1">
        <v>2</v>
      </c>
      <c r="J62" s="13">
        <v>85758</v>
      </c>
      <c r="M62">
        <v>9869</v>
      </c>
      <c r="N62">
        <v>109803</v>
      </c>
    </row>
    <row r="63" spans="3:14" x14ac:dyDescent="0.25">
      <c r="C63" s="3">
        <v>58</v>
      </c>
      <c r="D63" s="1">
        <v>53</v>
      </c>
      <c r="E63" s="1" t="s">
        <v>0</v>
      </c>
      <c r="F63" s="1" t="s">
        <v>1</v>
      </c>
      <c r="G63" s="1" t="s">
        <v>5</v>
      </c>
      <c r="H63" s="1">
        <v>7.63</v>
      </c>
      <c r="I63" s="1">
        <v>1</v>
      </c>
      <c r="J63" s="13">
        <v>58112</v>
      </c>
      <c r="M63">
        <v>3831</v>
      </c>
      <c r="N63">
        <v>84376</v>
      </c>
    </row>
    <row r="64" spans="3:14" x14ac:dyDescent="0.25">
      <c r="C64" s="3">
        <v>59</v>
      </c>
      <c r="D64" s="1">
        <v>34</v>
      </c>
      <c r="E64" s="1" t="s">
        <v>0</v>
      </c>
      <c r="F64" s="1" t="s">
        <v>4</v>
      </c>
      <c r="G64" s="1" t="s">
        <v>6</v>
      </c>
      <c r="H64" s="1">
        <v>12.44</v>
      </c>
      <c r="I64" s="1">
        <v>2</v>
      </c>
      <c r="J64" s="13">
        <v>14974</v>
      </c>
      <c r="M64">
        <v>6888</v>
      </c>
      <c r="N64">
        <v>42713</v>
      </c>
    </row>
    <row r="65" spans="3:14" x14ac:dyDescent="0.25">
      <c r="C65" s="3">
        <v>60</v>
      </c>
      <c r="D65" s="1">
        <v>43</v>
      </c>
      <c r="E65" s="1" t="s">
        <v>3</v>
      </c>
      <c r="F65" s="1" t="s">
        <v>4</v>
      </c>
      <c r="G65" s="1" t="s">
        <v>7</v>
      </c>
      <c r="H65" s="1">
        <v>9.1199999999999992</v>
      </c>
      <c r="I65" s="1">
        <v>3</v>
      </c>
      <c r="J65" s="13">
        <v>21516</v>
      </c>
      <c r="M65">
        <v>16428</v>
      </c>
      <c r="N65">
        <v>62175</v>
      </c>
    </row>
    <row r="66" spans="3:14" x14ac:dyDescent="0.25">
      <c r="C66" s="3">
        <v>61</v>
      </c>
      <c r="D66" s="1">
        <v>25</v>
      </c>
      <c r="E66" s="1" t="s">
        <v>3</v>
      </c>
      <c r="F66" s="1" t="s">
        <v>4</v>
      </c>
      <c r="G66" s="1" t="s">
        <v>5</v>
      </c>
      <c r="H66" s="1">
        <v>11.22</v>
      </c>
      <c r="I66" s="1">
        <v>4</v>
      </c>
      <c r="J66" s="13">
        <v>11262</v>
      </c>
      <c r="M66">
        <v>11103</v>
      </c>
      <c r="N66">
        <v>90549</v>
      </c>
    </row>
    <row r="67" spans="3:14" x14ac:dyDescent="0.25">
      <c r="C67" s="3">
        <v>62</v>
      </c>
      <c r="D67" s="1">
        <v>64</v>
      </c>
      <c r="E67" s="1" t="s">
        <v>3</v>
      </c>
      <c r="F67" s="1" t="s">
        <v>4</v>
      </c>
      <c r="G67" s="1" t="s">
        <v>6</v>
      </c>
      <c r="H67" s="1">
        <v>8.23</v>
      </c>
      <c r="I67" s="1">
        <v>1</v>
      </c>
      <c r="J67" s="13">
        <v>75417</v>
      </c>
      <c r="M67">
        <v>19838</v>
      </c>
      <c r="N67">
        <v>115378</v>
      </c>
    </row>
    <row r="68" spans="3:14" x14ac:dyDescent="0.25">
      <c r="C68" s="3">
        <v>63</v>
      </c>
      <c r="D68" s="1">
        <v>28</v>
      </c>
      <c r="E68" s="1" t="s">
        <v>0</v>
      </c>
      <c r="F68" s="1" t="s">
        <v>4</v>
      </c>
      <c r="G68" s="1" t="s">
        <v>6</v>
      </c>
      <c r="H68" s="1">
        <v>8.64</v>
      </c>
      <c r="I68" s="1">
        <v>1</v>
      </c>
      <c r="J68" s="13">
        <v>10334</v>
      </c>
      <c r="M68">
        <v>27584</v>
      </c>
      <c r="N68">
        <v>42949</v>
      </c>
    </row>
    <row r="69" spans="3:14" x14ac:dyDescent="0.25">
      <c r="C69" s="3">
        <v>64</v>
      </c>
      <c r="D69" s="1">
        <v>20</v>
      </c>
      <c r="E69" s="1" t="s">
        <v>0</v>
      </c>
      <c r="F69" s="1" t="s">
        <v>1</v>
      </c>
      <c r="G69" s="1" t="s">
        <v>6</v>
      </c>
      <c r="H69" s="1">
        <v>7.47</v>
      </c>
      <c r="I69" s="1">
        <v>0</v>
      </c>
      <c r="J69" s="13">
        <v>36779</v>
      </c>
      <c r="M69">
        <v>27683</v>
      </c>
      <c r="N69">
        <v>107142</v>
      </c>
    </row>
    <row r="70" spans="3:14" x14ac:dyDescent="0.25">
      <c r="C70" s="3">
        <v>65</v>
      </c>
      <c r="D70" s="1">
        <v>19</v>
      </c>
      <c r="E70" s="1" t="s">
        <v>0</v>
      </c>
      <c r="F70" s="1" t="s">
        <v>4</v>
      </c>
      <c r="G70" s="1" t="s">
        <v>2</v>
      </c>
      <c r="H70" s="1">
        <v>9.6300000000000008</v>
      </c>
      <c r="I70" s="1">
        <v>0</v>
      </c>
      <c r="J70" s="13">
        <v>4358</v>
      </c>
      <c r="M70">
        <v>20067</v>
      </c>
      <c r="N70">
        <v>55829</v>
      </c>
    </row>
    <row r="71" spans="3:14" x14ac:dyDescent="0.25">
      <c r="C71" s="3">
        <v>66</v>
      </c>
      <c r="D71" s="1">
        <v>61</v>
      </c>
      <c r="E71" s="1" t="s">
        <v>0</v>
      </c>
      <c r="F71" s="1" t="s">
        <v>4</v>
      </c>
      <c r="G71" s="1" t="s">
        <v>2</v>
      </c>
      <c r="H71" s="1">
        <v>13.03</v>
      </c>
      <c r="I71" s="1">
        <v>2</v>
      </c>
      <c r="J71" s="13">
        <v>35588</v>
      </c>
      <c r="M71">
        <v>27706</v>
      </c>
      <c r="N71">
        <v>121373</v>
      </c>
    </row>
    <row r="72" spans="3:14" x14ac:dyDescent="0.25">
      <c r="C72" s="3">
        <v>67</v>
      </c>
      <c r="D72" s="1">
        <v>40</v>
      </c>
      <c r="E72" s="1" t="s">
        <v>3</v>
      </c>
      <c r="F72" s="1" t="s">
        <v>4</v>
      </c>
      <c r="G72" s="1" t="s">
        <v>6</v>
      </c>
      <c r="H72" s="1">
        <v>8.77</v>
      </c>
      <c r="I72" s="1">
        <v>1</v>
      </c>
      <c r="J72" s="13">
        <v>15973</v>
      </c>
      <c r="M72">
        <v>5067</v>
      </c>
      <c r="N72">
        <v>119742</v>
      </c>
    </row>
    <row r="73" spans="3:14" x14ac:dyDescent="0.25">
      <c r="C73" s="3">
        <v>68</v>
      </c>
      <c r="D73" s="1">
        <v>40</v>
      </c>
      <c r="E73" s="1" t="s">
        <v>0</v>
      </c>
      <c r="F73" s="1" t="s">
        <v>4</v>
      </c>
      <c r="G73" s="1" t="s">
        <v>5</v>
      </c>
      <c r="H73" s="1">
        <v>12.06</v>
      </c>
      <c r="I73" s="1">
        <v>0</v>
      </c>
      <c r="J73" s="13">
        <v>14800</v>
      </c>
      <c r="M73">
        <v>27355</v>
      </c>
      <c r="N73">
        <v>105281</v>
      </c>
    </row>
    <row r="74" spans="3:14" x14ac:dyDescent="0.25">
      <c r="C74" s="3">
        <v>69</v>
      </c>
      <c r="D74" s="1">
        <v>28</v>
      </c>
      <c r="E74" s="1" t="s">
        <v>3</v>
      </c>
      <c r="F74" s="1" t="s">
        <v>1</v>
      </c>
      <c r="G74" s="1" t="s">
        <v>5</v>
      </c>
      <c r="H74" s="1">
        <v>7.99</v>
      </c>
      <c r="I74" s="1">
        <v>3</v>
      </c>
      <c r="J74" s="13">
        <v>44158</v>
      </c>
      <c r="M74">
        <v>14323</v>
      </c>
      <c r="N74">
        <v>40745</v>
      </c>
    </row>
    <row r="75" spans="3:14" x14ac:dyDescent="0.25">
      <c r="C75" s="3">
        <v>70</v>
      </c>
      <c r="D75" s="1">
        <v>27</v>
      </c>
      <c r="E75" s="1" t="s">
        <v>0</v>
      </c>
      <c r="F75" s="1" t="s">
        <v>1</v>
      </c>
      <c r="G75" s="1" t="s">
        <v>5</v>
      </c>
      <c r="H75" s="1">
        <v>8.25</v>
      </c>
      <c r="I75" s="1">
        <v>0</v>
      </c>
      <c r="J75" s="13">
        <v>41444</v>
      </c>
      <c r="M75">
        <v>9417</v>
      </c>
      <c r="N75">
        <v>54947</v>
      </c>
    </row>
    <row r="76" spans="3:14" x14ac:dyDescent="0.25">
      <c r="C76" s="3">
        <v>71</v>
      </c>
      <c r="D76" s="1">
        <v>31</v>
      </c>
      <c r="E76" s="1" t="s">
        <v>3</v>
      </c>
      <c r="F76" s="1" t="s">
        <v>4</v>
      </c>
      <c r="G76" s="1" t="s">
        <v>7</v>
      </c>
      <c r="H76" s="1">
        <v>9.5</v>
      </c>
      <c r="I76" s="1">
        <v>5</v>
      </c>
      <c r="J76" s="13">
        <v>16999</v>
      </c>
      <c r="M76">
        <v>30263</v>
      </c>
      <c r="N76">
        <v>96866</v>
      </c>
    </row>
    <row r="77" spans="3:14" x14ac:dyDescent="0.25">
      <c r="C77" s="3">
        <v>72</v>
      </c>
      <c r="D77" s="1">
        <v>53</v>
      </c>
      <c r="E77" s="1" t="s">
        <v>0</v>
      </c>
      <c r="F77" s="1" t="s">
        <v>4</v>
      </c>
      <c r="G77" s="1" t="s">
        <v>2</v>
      </c>
      <c r="H77" s="1">
        <v>9.3699999999999992</v>
      </c>
      <c r="I77" s="1">
        <v>3</v>
      </c>
      <c r="J77" s="13">
        <v>29354</v>
      </c>
      <c r="M77">
        <v>25566</v>
      </c>
      <c r="N77">
        <v>62183</v>
      </c>
    </row>
    <row r="78" spans="3:14" x14ac:dyDescent="0.25">
      <c r="C78" s="3">
        <v>73</v>
      </c>
      <c r="D78" s="1">
        <v>58</v>
      </c>
      <c r="E78" s="1" t="s">
        <v>3</v>
      </c>
      <c r="F78" s="1" t="s">
        <v>4</v>
      </c>
      <c r="G78" s="1" t="s">
        <v>5</v>
      </c>
      <c r="H78" s="1">
        <v>10.67</v>
      </c>
      <c r="I78" s="1">
        <v>1</v>
      </c>
      <c r="J78" s="13">
        <v>29867</v>
      </c>
      <c r="M78">
        <v>15465</v>
      </c>
      <c r="N78">
        <v>105311</v>
      </c>
    </row>
    <row r="79" spans="3:14" x14ac:dyDescent="0.25">
      <c r="C79" s="3">
        <v>74</v>
      </c>
      <c r="D79" s="1">
        <v>44</v>
      </c>
      <c r="E79" s="1" t="s">
        <v>3</v>
      </c>
      <c r="F79" s="1" t="s">
        <v>4</v>
      </c>
      <c r="G79" s="1" t="s">
        <v>2</v>
      </c>
      <c r="H79" s="1">
        <v>9.1300000000000008</v>
      </c>
      <c r="I79" s="1">
        <v>2</v>
      </c>
      <c r="J79" s="13">
        <v>19317</v>
      </c>
      <c r="M79">
        <v>9113</v>
      </c>
      <c r="N79">
        <v>87097</v>
      </c>
    </row>
    <row r="80" spans="3:14" x14ac:dyDescent="0.25">
      <c r="C80" s="3">
        <v>75</v>
      </c>
      <c r="D80" s="1">
        <v>57</v>
      </c>
      <c r="E80" s="1" t="s">
        <v>3</v>
      </c>
      <c r="F80" s="1" t="s">
        <v>4</v>
      </c>
      <c r="G80" s="1" t="s">
        <v>6</v>
      </c>
      <c r="H80" s="1">
        <v>11.34</v>
      </c>
      <c r="I80" s="1">
        <v>0</v>
      </c>
      <c r="J80" s="13">
        <v>28392</v>
      </c>
      <c r="M80">
        <v>53362</v>
      </c>
      <c r="N80">
        <v>88729</v>
      </c>
    </row>
    <row r="81" spans="3:14" x14ac:dyDescent="0.25">
      <c r="C81" s="3">
        <v>76</v>
      </c>
      <c r="D81" s="1">
        <v>29</v>
      </c>
      <c r="E81" s="1" t="s">
        <v>0</v>
      </c>
      <c r="F81" s="1" t="s">
        <v>4</v>
      </c>
      <c r="G81" s="1" t="s">
        <v>5</v>
      </c>
      <c r="H81" s="1">
        <v>9.86</v>
      </c>
      <c r="I81" s="1">
        <v>1</v>
      </c>
      <c r="J81" s="13">
        <v>9869</v>
      </c>
      <c r="M81">
        <v>12510</v>
      </c>
      <c r="N81">
        <v>106901</v>
      </c>
    </row>
    <row r="82" spans="3:14" x14ac:dyDescent="0.25">
      <c r="C82" s="3">
        <v>77</v>
      </c>
      <c r="D82" s="1">
        <v>21</v>
      </c>
      <c r="E82" s="1" t="s">
        <v>3</v>
      </c>
      <c r="F82" s="1" t="s">
        <v>4</v>
      </c>
      <c r="G82" s="1" t="s">
        <v>5</v>
      </c>
      <c r="H82" s="1">
        <v>11.84</v>
      </c>
      <c r="I82" s="1">
        <v>0</v>
      </c>
      <c r="J82" s="13">
        <v>3831</v>
      </c>
      <c r="M82">
        <v>5829</v>
      </c>
      <c r="N82">
        <v>119820</v>
      </c>
    </row>
    <row r="83" spans="3:14" x14ac:dyDescent="0.25">
      <c r="C83" s="3">
        <v>78</v>
      </c>
      <c r="D83" s="1">
        <v>22</v>
      </c>
      <c r="E83" s="1" t="s">
        <v>0</v>
      </c>
      <c r="F83" s="1" t="s">
        <v>4</v>
      </c>
      <c r="G83" s="1" t="s">
        <v>7</v>
      </c>
      <c r="H83" s="1">
        <v>13.27</v>
      </c>
      <c r="I83" s="1">
        <v>0</v>
      </c>
      <c r="J83" s="13">
        <v>6888</v>
      </c>
      <c r="M83">
        <v>9693</v>
      </c>
      <c r="N83">
        <v>121294</v>
      </c>
    </row>
    <row r="84" spans="3:14" x14ac:dyDescent="0.25">
      <c r="C84" s="3">
        <v>79</v>
      </c>
      <c r="D84" s="1">
        <v>41</v>
      </c>
      <c r="E84" s="1" t="s">
        <v>0</v>
      </c>
      <c r="F84" s="1" t="s">
        <v>4</v>
      </c>
      <c r="G84" s="1" t="s">
        <v>6</v>
      </c>
      <c r="H84" s="1">
        <v>10.99</v>
      </c>
      <c r="I84" s="1">
        <v>0</v>
      </c>
      <c r="J84" s="13">
        <v>16428</v>
      </c>
      <c r="M84">
        <v>7168</v>
      </c>
      <c r="N84">
        <v>60984</v>
      </c>
    </row>
    <row r="85" spans="3:14" x14ac:dyDescent="0.25">
      <c r="C85" s="3">
        <v>80</v>
      </c>
      <c r="D85" s="1">
        <v>31</v>
      </c>
      <c r="E85" s="1" t="s">
        <v>3</v>
      </c>
      <c r="F85" s="1" t="s">
        <v>4</v>
      </c>
      <c r="G85" s="1" t="s">
        <v>7</v>
      </c>
      <c r="H85" s="1">
        <v>8.9600000000000009</v>
      </c>
      <c r="I85" s="1">
        <v>1</v>
      </c>
      <c r="J85" s="13">
        <v>11103</v>
      </c>
      <c r="M85">
        <v>27063</v>
      </c>
      <c r="N85">
        <v>104798</v>
      </c>
    </row>
    <row r="86" spans="3:14" x14ac:dyDescent="0.25">
      <c r="C86" s="3">
        <v>81</v>
      </c>
      <c r="D86" s="1">
        <v>45</v>
      </c>
      <c r="E86" s="1" t="s">
        <v>0</v>
      </c>
      <c r="F86" s="1" t="s">
        <v>4</v>
      </c>
      <c r="G86" s="1" t="s">
        <v>7</v>
      </c>
      <c r="H86" s="1">
        <v>12.76</v>
      </c>
      <c r="I86" s="1">
        <v>0</v>
      </c>
      <c r="J86" s="13">
        <v>19838</v>
      </c>
      <c r="M86">
        <v>29703</v>
      </c>
      <c r="N86">
        <v>34611</v>
      </c>
    </row>
    <row r="87" spans="3:14" x14ac:dyDescent="0.25">
      <c r="C87" s="3">
        <v>82</v>
      </c>
      <c r="D87" s="1">
        <v>22</v>
      </c>
      <c r="E87" s="1" t="s">
        <v>3</v>
      </c>
      <c r="F87" s="1" t="s">
        <v>1</v>
      </c>
      <c r="G87" s="1" t="s">
        <v>5</v>
      </c>
      <c r="H87" s="1">
        <v>12.54</v>
      </c>
      <c r="I87" s="1">
        <v>1</v>
      </c>
      <c r="J87" s="13">
        <v>92913</v>
      </c>
      <c r="M87">
        <v>11617</v>
      </c>
      <c r="N87">
        <v>90213</v>
      </c>
    </row>
    <row r="88" spans="3:14" x14ac:dyDescent="0.25">
      <c r="C88" s="3">
        <v>83</v>
      </c>
      <c r="D88" s="1">
        <v>48</v>
      </c>
      <c r="E88" s="1" t="s">
        <v>0</v>
      </c>
      <c r="F88" s="1" t="s">
        <v>4</v>
      </c>
      <c r="G88" s="1" t="s">
        <v>6</v>
      </c>
      <c r="H88" s="1">
        <v>13.74</v>
      </c>
      <c r="I88" s="1">
        <v>4</v>
      </c>
      <c r="J88" s="13">
        <v>27584</v>
      </c>
      <c r="M88">
        <v>6012</v>
      </c>
      <c r="N88">
        <v>45085</v>
      </c>
    </row>
    <row r="89" spans="3:14" x14ac:dyDescent="0.25">
      <c r="C89" s="3">
        <v>84</v>
      </c>
      <c r="D89" s="1">
        <v>37</v>
      </c>
      <c r="E89" s="1" t="s">
        <v>0</v>
      </c>
      <c r="F89" s="1" t="s">
        <v>1</v>
      </c>
      <c r="G89" s="1" t="s">
        <v>2</v>
      </c>
      <c r="H89" s="1">
        <v>11.6</v>
      </c>
      <c r="I89" s="1">
        <v>2</v>
      </c>
      <c r="J89" s="13">
        <v>99591</v>
      </c>
      <c r="M89">
        <v>28721</v>
      </c>
      <c r="N89">
        <v>54150</v>
      </c>
    </row>
    <row r="90" spans="3:14" x14ac:dyDescent="0.25">
      <c r="C90" s="3">
        <v>85</v>
      </c>
      <c r="D90" s="1">
        <v>45</v>
      </c>
      <c r="E90" s="1" t="s">
        <v>3</v>
      </c>
      <c r="F90" s="1" t="s">
        <v>1</v>
      </c>
      <c r="G90" s="1" t="s">
        <v>6</v>
      </c>
      <c r="H90" s="1">
        <v>7.63</v>
      </c>
      <c r="I90" s="1">
        <v>2</v>
      </c>
      <c r="J90" s="13">
        <v>52746</v>
      </c>
      <c r="M90">
        <v>75650</v>
      </c>
      <c r="N90">
        <v>95316</v>
      </c>
    </row>
    <row r="91" spans="3:14" x14ac:dyDescent="0.25">
      <c r="C91" s="3">
        <v>86</v>
      </c>
      <c r="D91" s="1">
        <v>57</v>
      </c>
      <c r="E91" s="1" t="s">
        <v>0</v>
      </c>
      <c r="F91" s="1" t="s">
        <v>1</v>
      </c>
      <c r="G91" s="1" t="s">
        <v>6</v>
      </c>
      <c r="H91" s="1">
        <v>10.39</v>
      </c>
      <c r="I91" s="1">
        <v>0</v>
      </c>
      <c r="J91" s="13">
        <v>108947</v>
      </c>
      <c r="M91">
        <v>28453</v>
      </c>
      <c r="N91">
        <v>37516</v>
      </c>
    </row>
    <row r="92" spans="3:14" x14ac:dyDescent="0.25">
      <c r="C92" s="3">
        <v>87</v>
      </c>
      <c r="D92" s="1">
        <v>56</v>
      </c>
      <c r="E92" s="1" t="s">
        <v>0</v>
      </c>
      <c r="F92" s="1" t="s">
        <v>4</v>
      </c>
      <c r="G92" s="1" t="s">
        <v>2</v>
      </c>
      <c r="H92" s="1">
        <v>9.07</v>
      </c>
      <c r="I92" s="1">
        <v>0</v>
      </c>
      <c r="J92" s="13">
        <v>27683</v>
      </c>
      <c r="M92">
        <v>21503</v>
      </c>
      <c r="N92">
        <v>105759</v>
      </c>
    </row>
    <row r="93" spans="3:14" x14ac:dyDescent="0.25">
      <c r="C93" s="3">
        <v>88</v>
      </c>
      <c r="D93" s="1">
        <v>46</v>
      </c>
      <c r="E93" s="1" t="s">
        <v>0</v>
      </c>
      <c r="F93" s="1" t="s">
        <v>4</v>
      </c>
      <c r="G93" s="1" t="s">
        <v>6</v>
      </c>
      <c r="H93" s="1">
        <v>9.25</v>
      </c>
      <c r="I93" s="1">
        <v>0</v>
      </c>
      <c r="J93" s="13">
        <v>20067</v>
      </c>
      <c r="M93">
        <v>16716</v>
      </c>
      <c r="N93">
        <v>48987</v>
      </c>
    </row>
    <row r="94" spans="3:14" x14ac:dyDescent="0.25">
      <c r="C94" s="3">
        <v>89</v>
      </c>
      <c r="D94" s="1">
        <v>55</v>
      </c>
      <c r="E94" s="1" t="s">
        <v>0</v>
      </c>
      <c r="F94" s="1" t="s">
        <v>4</v>
      </c>
      <c r="G94" s="1" t="s">
        <v>6</v>
      </c>
      <c r="H94" s="1">
        <v>8.99</v>
      </c>
      <c r="I94" s="1">
        <v>0</v>
      </c>
      <c r="J94" s="13">
        <v>27706</v>
      </c>
      <c r="M94">
        <v>19351</v>
      </c>
      <c r="N94">
        <v>36139</v>
      </c>
    </row>
    <row r="95" spans="3:14" x14ac:dyDescent="0.25">
      <c r="C95" s="3">
        <v>90</v>
      </c>
      <c r="D95" s="1">
        <v>21</v>
      </c>
      <c r="E95" s="1" t="s">
        <v>0</v>
      </c>
      <c r="F95" s="1" t="s">
        <v>4</v>
      </c>
      <c r="G95" s="1" t="s">
        <v>5</v>
      </c>
      <c r="H95" s="1">
        <v>13.16</v>
      </c>
      <c r="I95" s="1">
        <v>0</v>
      </c>
      <c r="J95" s="13">
        <v>5067</v>
      </c>
      <c r="M95">
        <v>4264</v>
      </c>
      <c r="N95">
        <v>46521</v>
      </c>
    </row>
    <row r="96" spans="3:14" x14ac:dyDescent="0.25">
      <c r="C96" s="3">
        <v>91</v>
      </c>
      <c r="D96" s="1">
        <v>53</v>
      </c>
      <c r="E96" s="1" t="s">
        <v>0</v>
      </c>
      <c r="F96" s="1" t="s">
        <v>4</v>
      </c>
      <c r="G96" s="1" t="s">
        <v>6</v>
      </c>
      <c r="H96" s="1">
        <v>8.26</v>
      </c>
      <c r="I96" s="1">
        <v>1</v>
      </c>
      <c r="J96" s="13">
        <v>27355</v>
      </c>
      <c r="M96">
        <v>5644</v>
      </c>
      <c r="N96">
        <v>72376</v>
      </c>
    </row>
    <row r="97" spans="3:14" x14ac:dyDescent="0.25">
      <c r="C97" s="3">
        <v>92</v>
      </c>
      <c r="D97" s="1">
        <v>59</v>
      </c>
      <c r="E97" s="1" t="s">
        <v>3</v>
      </c>
      <c r="F97" s="1" t="s">
        <v>1</v>
      </c>
      <c r="G97" s="1" t="s">
        <v>7</v>
      </c>
      <c r="H97" s="1">
        <v>9.94</v>
      </c>
      <c r="I97" s="1">
        <v>3</v>
      </c>
      <c r="J97" s="13">
        <v>75462</v>
      </c>
      <c r="M97">
        <v>25288</v>
      </c>
      <c r="N97">
        <v>117223</v>
      </c>
    </row>
    <row r="98" spans="3:14" x14ac:dyDescent="0.25">
      <c r="C98" s="3">
        <v>93</v>
      </c>
      <c r="D98" s="1">
        <v>35</v>
      </c>
      <c r="E98" s="1" t="s">
        <v>3</v>
      </c>
      <c r="F98" s="1" t="s">
        <v>4</v>
      </c>
      <c r="G98" s="1" t="s">
        <v>6</v>
      </c>
      <c r="H98" s="1">
        <v>11.59</v>
      </c>
      <c r="I98" s="1">
        <v>2</v>
      </c>
      <c r="J98" s="13">
        <v>14323</v>
      </c>
      <c r="M98">
        <v>8463</v>
      </c>
      <c r="N98">
        <v>116498</v>
      </c>
    </row>
    <row r="99" spans="3:14" x14ac:dyDescent="0.25">
      <c r="C99" s="3">
        <v>94</v>
      </c>
      <c r="D99" s="1">
        <v>64</v>
      </c>
      <c r="E99" s="1" t="s">
        <v>0</v>
      </c>
      <c r="F99" s="1" t="s">
        <v>1</v>
      </c>
      <c r="G99" s="1" t="s">
        <v>2</v>
      </c>
      <c r="H99" s="1">
        <v>10.43</v>
      </c>
      <c r="I99" s="1">
        <v>2</v>
      </c>
      <c r="J99" s="13">
        <v>118228</v>
      </c>
      <c r="M99">
        <v>24086</v>
      </c>
      <c r="N99">
        <v>97813</v>
      </c>
    </row>
    <row r="100" spans="3:14" x14ac:dyDescent="0.25">
      <c r="C100" s="3">
        <v>95</v>
      </c>
      <c r="D100" s="1">
        <v>28</v>
      </c>
      <c r="E100" s="1" t="s">
        <v>0</v>
      </c>
      <c r="F100" s="1" t="s">
        <v>4</v>
      </c>
      <c r="G100" s="1" t="s">
        <v>5</v>
      </c>
      <c r="H100" s="1">
        <v>12.54</v>
      </c>
      <c r="I100" s="1">
        <v>1</v>
      </c>
      <c r="J100" s="13">
        <v>9417</v>
      </c>
      <c r="M100">
        <v>15206</v>
      </c>
      <c r="N100">
        <v>92698</v>
      </c>
    </row>
    <row r="101" spans="3:14" x14ac:dyDescent="0.25">
      <c r="C101" s="3">
        <v>96</v>
      </c>
      <c r="D101" s="1">
        <v>54</v>
      </c>
      <c r="E101" s="1" t="s">
        <v>0</v>
      </c>
      <c r="F101" s="1" t="s">
        <v>4</v>
      </c>
      <c r="G101" s="1" t="s">
        <v>2</v>
      </c>
      <c r="H101" s="1">
        <v>10.27</v>
      </c>
      <c r="I101" s="1">
        <v>3</v>
      </c>
      <c r="J101" s="13">
        <v>30263</v>
      </c>
      <c r="M101">
        <v>32039</v>
      </c>
      <c r="N101">
        <v>65273</v>
      </c>
    </row>
    <row r="102" spans="3:14" x14ac:dyDescent="0.25">
      <c r="C102" s="3">
        <v>97</v>
      </c>
      <c r="D102" s="1">
        <v>55</v>
      </c>
      <c r="E102" s="1" t="s">
        <v>3</v>
      </c>
      <c r="F102" s="1" t="s">
        <v>4</v>
      </c>
      <c r="G102" s="1" t="s">
        <v>5</v>
      </c>
      <c r="H102" s="1">
        <v>12.76</v>
      </c>
      <c r="I102" s="1">
        <v>0</v>
      </c>
      <c r="J102" s="13">
        <v>25566</v>
      </c>
      <c r="M102">
        <v>34041</v>
      </c>
      <c r="N102">
        <v>55360</v>
      </c>
    </row>
    <row r="103" spans="3:14" x14ac:dyDescent="0.25">
      <c r="C103" s="3">
        <v>98</v>
      </c>
      <c r="D103" s="1">
        <v>56</v>
      </c>
      <c r="E103" s="1" t="s">
        <v>3</v>
      </c>
      <c r="F103" s="1" t="s">
        <v>1</v>
      </c>
      <c r="G103" s="1" t="s">
        <v>7</v>
      </c>
      <c r="H103" s="1">
        <v>6.65</v>
      </c>
      <c r="I103" s="1">
        <v>0</v>
      </c>
      <c r="J103" s="13">
        <v>56032</v>
      </c>
      <c r="M103">
        <v>27909</v>
      </c>
      <c r="N103">
        <v>48805</v>
      </c>
    </row>
    <row r="104" spans="3:14" x14ac:dyDescent="0.25">
      <c r="C104" s="3">
        <v>99</v>
      </c>
      <c r="D104" s="1">
        <v>38</v>
      </c>
      <c r="E104" s="1" t="s">
        <v>3</v>
      </c>
      <c r="F104" s="1" t="s">
        <v>1</v>
      </c>
      <c r="G104" s="1" t="s">
        <v>2</v>
      </c>
      <c r="H104" s="1">
        <v>6.43</v>
      </c>
      <c r="I104" s="1">
        <v>0</v>
      </c>
      <c r="J104" s="13">
        <v>39552</v>
      </c>
      <c r="M104">
        <v>4081</v>
      </c>
      <c r="N104">
        <v>63456</v>
      </c>
    </row>
    <row r="105" spans="3:14" x14ac:dyDescent="0.25">
      <c r="C105" s="3">
        <v>100</v>
      </c>
      <c r="D105" s="1">
        <v>41</v>
      </c>
      <c r="E105" s="1" t="s">
        <v>0</v>
      </c>
      <c r="F105" s="1" t="s">
        <v>4</v>
      </c>
      <c r="G105" s="1" t="s">
        <v>2</v>
      </c>
      <c r="H105" s="1">
        <v>10.53</v>
      </c>
      <c r="I105" s="1">
        <v>0</v>
      </c>
      <c r="J105" s="13">
        <v>15465</v>
      </c>
      <c r="M105">
        <v>6143</v>
      </c>
      <c r="N105">
        <v>72172</v>
      </c>
    </row>
    <row r="106" spans="3:14" x14ac:dyDescent="0.25">
      <c r="C106" s="3">
        <v>101</v>
      </c>
      <c r="D106" s="1">
        <v>30</v>
      </c>
      <c r="E106" s="1" t="s">
        <v>3</v>
      </c>
      <c r="F106" s="1" t="s">
        <v>4</v>
      </c>
      <c r="G106" s="1" t="s">
        <v>7</v>
      </c>
      <c r="H106" s="1">
        <v>8.49</v>
      </c>
      <c r="I106" s="1">
        <v>0</v>
      </c>
      <c r="J106" s="13">
        <v>9113</v>
      </c>
      <c r="M106">
        <v>5389</v>
      </c>
      <c r="N106">
        <v>87869</v>
      </c>
    </row>
    <row r="107" spans="3:14" x14ac:dyDescent="0.25">
      <c r="C107" s="3">
        <v>102</v>
      </c>
      <c r="D107" s="1">
        <v>18</v>
      </c>
      <c r="E107" s="1" t="s">
        <v>0</v>
      </c>
      <c r="F107" s="1" t="s">
        <v>4</v>
      </c>
      <c r="G107" s="1" t="s">
        <v>7</v>
      </c>
      <c r="H107" s="1">
        <v>10.039999999999999</v>
      </c>
      <c r="I107" s="1">
        <v>0</v>
      </c>
      <c r="J107" s="13">
        <v>53362</v>
      </c>
      <c r="M107">
        <v>3154</v>
      </c>
      <c r="N107">
        <v>122213</v>
      </c>
    </row>
    <row r="108" spans="3:14" x14ac:dyDescent="0.25">
      <c r="C108" s="3">
        <v>103</v>
      </c>
      <c r="D108" s="1">
        <v>61</v>
      </c>
      <c r="E108" s="1" t="s">
        <v>0</v>
      </c>
      <c r="F108" s="1" t="s">
        <v>1</v>
      </c>
      <c r="G108" s="1" t="s">
        <v>5</v>
      </c>
      <c r="H108" s="1">
        <v>9.9700000000000006</v>
      </c>
      <c r="I108" s="1">
        <v>3</v>
      </c>
      <c r="J108" s="13">
        <v>77355</v>
      </c>
      <c r="M108">
        <v>5114</v>
      </c>
      <c r="N108">
        <v>44855</v>
      </c>
    </row>
    <row r="109" spans="3:14" x14ac:dyDescent="0.25">
      <c r="C109" s="3">
        <v>104</v>
      </c>
      <c r="D109" s="1">
        <v>34</v>
      </c>
      <c r="E109" s="1" t="s">
        <v>0</v>
      </c>
      <c r="F109" s="1" t="s">
        <v>4</v>
      </c>
      <c r="G109" s="1" t="s">
        <v>2</v>
      </c>
      <c r="H109" s="1">
        <v>9.17</v>
      </c>
      <c r="I109" s="1">
        <v>1</v>
      </c>
      <c r="J109" s="13">
        <v>12510</v>
      </c>
      <c r="M109">
        <v>68307</v>
      </c>
      <c r="N109">
        <v>90494</v>
      </c>
    </row>
    <row r="110" spans="3:14" x14ac:dyDescent="0.25">
      <c r="C110" s="3">
        <v>105</v>
      </c>
      <c r="D110" s="1">
        <v>20</v>
      </c>
      <c r="E110" s="1" t="s">
        <v>3</v>
      </c>
      <c r="F110" s="1" t="s">
        <v>1</v>
      </c>
      <c r="G110" s="1" t="s">
        <v>6</v>
      </c>
      <c r="H110" s="1">
        <v>9.34</v>
      </c>
      <c r="I110" s="1">
        <v>1</v>
      </c>
      <c r="J110" s="13">
        <v>43901</v>
      </c>
      <c r="M110">
        <v>5417</v>
      </c>
      <c r="N110">
        <v>55545</v>
      </c>
    </row>
    <row r="111" spans="3:14" x14ac:dyDescent="0.25">
      <c r="C111" s="3">
        <v>106</v>
      </c>
      <c r="D111" s="1">
        <v>19</v>
      </c>
      <c r="E111" s="1" t="s">
        <v>0</v>
      </c>
      <c r="F111" s="1" t="s">
        <v>4</v>
      </c>
      <c r="G111" s="1" t="s">
        <v>2</v>
      </c>
      <c r="H111" s="1">
        <v>9.4700000000000006</v>
      </c>
      <c r="I111" s="1">
        <v>1</v>
      </c>
      <c r="J111" s="13">
        <v>5829</v>
      </c>
      <c r="M111">
        <v>68440</v>
      </c>
      <c r="N111">
        <v>81371</v>
      </c>
    </row>
    <row r="112" spans="3:14" x14ac:dyDescent="0.25">
      <c r="C112" s="3">
        <v>107</v>
      </c>
      <c r="D112" s="1">
        <v>26</v>
      </c>
      <c r="E112" s="1" t="s">
        <v>3</v>
      </c>
      <c r="F112" s="1" t="s">
        <v>4</v>
      </c>
      <c r="G112" s="1" t="s">
        <v>6</v>
      </c>
      <c r="H112" s="1">
        <v>10.29</v>
      </c>
      <c r="I112" s="1">
        <v>2</v>
      </c>
      <c r="J112" s="13">
        <v>9693</v>
      </c>
      <c r="M112">
        <v>8726</v>
      </c>
      <c r="N112">
        <v>52705</v>
      </c>
    </row>
    <row r="113" spans="3:14" x14ac:dyDescent="0.25">
      <c r="C113" s="3">
        <v>108</v>
      </c>
      <c r="D113" s="1">
        <v>29</v>
      </c>
      <c r="E113" s="1" t="s">
        <v>3</v>
      </c>
      <c r="F113" s="1" t="s">
        <v>4</v>
      </c>
      <c r="G113" s="1" t="s">
        <v>5</v>
      </c>
      <c r="H113" s="1">
        <v>9.31</v>
      </c>
      <c r="I113" s="1">
        <v>0</v>
      </c>
      <c r="J113" s="13">
        <v>7168</v>
      </c>
      <c r="M113">
        <v>45395</v>
      </c>
      <c r="N113">
        <v>95614</v>
      </c>
    </row>
    <row r="114" spans="3:14" x14ac:dyDescent="0.25">
      <c r="C114" s="3">
        <v>109</v>
      </c>
      <c r="D114" s="1">
        <v>63</v>
      </c>
      <c r="E114" s="1" t="s">
        <v>3</v>
      </c>
      <c r="F114" s="1" t="s">
        <v>1</v>
      </c>
      <c r="G114" s="1" t="s">
        <v>5</v>
      </c>
      <c r="H114" s="1">
        <v>11.7</v>
      </c>
      <c r="I114" s="1">
        <v>0</v>
      </c>
      <c r="J114" s="13">
        <v>117639</v>
      </c>
      <c r="M114">
        <v>12846</v>
      </c>
      <c r="N114">
        <v>121689</v>
      </c>
    </row>
    <row r="115" spans="3:14" x14ac:dyDescent="0.25">
      <c r="C115" s="3">
        <v>110</v>
      </c>
      <c r="D115" s="1">
        <v>54</v>
      </c>
      <c r="E115" s="1" t="s">
        <v>3</v>
      </c>
      <c r="F115" s="1" t="s">
        <v>4</v>
      </c>
      <c r="G115" s="1" t="s">
        <v>6</v>
      </c>
      <c r="H115" s="1">
        <v>11.21</v>
      </c>
      <c r="I115" s="1">
        <v>1</v>
      </c>
      <c r="J115" s="13">
        <v>27063</v>
      </c>
      <c r="M115">
        <v>24694</v>
      </c>
      <c r="N115">
        <v>159426</v>
      </c>
    </row>
    <row r="116" spans="3:14" x14ac:dyDescent="0.25">
      <c r="C116" s="3">
        <v>111</v>
      </c>
      <c r="D116" s="1">
        <v>55</v>
      </c>
      <c r="E116" s="1" t="s">
        <v>0</v>
      </c>
      <c r="F116" s="1" t="s">
        <v>4</v>
      </c>
      <c r="G116" s="1" t="s">
        <v>2</v>
      </c>
      <c r="H116" s="1">
        <v>9.9</v>
      </c>
      <c r="I116" s="1">
        <v>2</v>
      </c>
      <c r="J116" s="13">
        <v>29703</v>
      </c>
      <c r="M116">
        <v>27399</v>
      </c>
      <c r="N116">
        <v>59518</v>
      </c>
    </row>
    <row r="117" spans="3:14" x14ac:dyDescent="0.25">
      <c r="C117" s="3">
        <v>112</v>
      </c>
      <c r="D117" s="1">
        <v>37</v>
      </c>
      <c r="E117" s="1" t="s">
        <v>3</v>
      </c>
      <c r="F117" s="1" t="s">
        <v>4</v>
      </c>
      <c r="G117" s="1" t="s">
        <v>2</v>
      </c>
      <c r="H117" s="1">
        <v>10.27</v>
      </c>
      <c r="I117" s="1">
        <v>0</v>
      </c>
      <c r="J117" s="13">
        <v>11617</v>
      </c>
      <c r="M117">
        <v>4606</v>
      </c>
      <c r="N117">
        <v>114658</v>
      </c>
    </row>
    <row r="118" spans="3:14" x14ac:dyDescent="0.25">
      <c r="C118" s="3">
        <v>113</v>
      </c>
      <c r="D118" s="1">
        <v>21</v>
      </c>
      <c r="E118" s="1" t="s">
        <v>0</v>
      </c>
      <c r="F118" s="1" t="s">
        <v>4</v>
      </c>
      <c r="G118" s="1" t="s">
        <v>6</v>
      </c>
      <c r="H118" s="1">
        <v>11.91</v>
      </c>
      <c r="I118" s="1">
        <v>0</v>
      </c>
      <c r="J118" s="13">
        <v>6012</v>
      </c>
      <c r="M118">
        <v>12813</v>
      </c>
      <c r="N118">
        <v>99959</v>
      </c>
    </row>
    <row r="119" spans="3:14" x14ac:dyDescent="0.25">
      <c r="C119" s="3">
        <v>114</v>
      </c>
      <c r="D119" s="1">
        <v>52</v>
      </c>
      <c r="E119" s="1" t="s">
        <v>3</v>
      </c>
      <c r="F119" s="1" t="s">
        <v>4</v>
      </c>
      <c r="G119" s="1" t="s">
        <v>7</v>
      </c>
      <c r="H119" s="1">
        <v>10.74</v>
      </c>
      <c r="I119" s="1">
        <v>3</v>
      </c>
      <c r="J119" s="13">
        <v>28721</v>
      </c>
      <c r="M119">
        <v>19474</v>
      </c>
      <c r="N119">
        <v>114255</v>
      </c>
    </row>
    <row r="120" spans="3:14" x14ac:dyDescent="0.25">
      <c r="C120" s="3">
        <v>115</v>
      </c>
      <c r="D120" s="1">
        <v>60</v>
      </c>
      <c r="E120" s="1" t="s">
        <v>3</v>
      </c>
      <c r="F120" s="1" t="s">
        <v>4</v>
      </c>
      <c r="G120" s="1" t="s">
        <v>7</v>
      </c>
      <c r="H120" s="1">
        <v>9.5299999999999994</v>
      </c>
      <c r="I120" s="1">
        <v>0</v>
      </c>
      <c r="J120" s="13">
        <v>75650</v>
      </c>
      <c r="M120">
        <v>15836</v>
      </c>
      <c r="N120">
        <v>146428</v>
      </c>
    </row>
    <row r="121" spans="3:14" x14ac:dyDescent="0.25">
      <c r="C121" s="3">
        <v>116</v>
      </c>
      <c r="D121" s="1">
        <v>58</v>
      </c>
      <c r="E121" s="1" t="s">
        <v>3</v>
      </c>
      <c r="F121" s="1" t="s">
        <v>4</v>
      </c>
      <c r="G121" s="1" t="s">
        <v>5</v>
      </c>
      <c r="H121" s="1">
        <v>16.350000000000001</v>
      </c>
      <c r="I121" s="1">
        <v>0</v>
      </c>
      <c r="J121" s="13">
        <v>28453</v>
      </c>
      <c r="M121">
        <v>17693</v>
      </c>
      <c r="N121">
        <v>109860</v>
      </c>
    </row>
    <row r="122" spans="3:14" x14ac:dyDescent="0.25">
      <c r="C122" s="3">
        <v>117</v>
      </c>
      <c r="D122" s="1">
        <v>29</v>
      </c>
      <c r="E122" s="1" t="s">
        <v>0</v>
      </c>
      <c r="F122" s="1" t="s">
        <v>1</v>
      </c>
      <c r="G122" s="1" t="s">
        <v>5</v>
      </c>
      <c r="H122" s="1">
        <v>9.31</v>
      </c>
      <c r="I122" s="1">
        <v>1</v>
      </c>
      <c r="J122" s="13">
        <v>47769</v>
      </c>
      <c r="M122">
        <v>17372</v>
      </c>
      <c r="N122">
        <v>38398</v>
      </c>
    </row>
    <row r="123" spans="3:14" x14ac:dyDescent="0.25">
      <c r="C123" s="3">
        <v>118</v>
      </c>
      <c r="D123" s="1">
        <v>49</v>
      </c>
      <c r="E123" s="1" t="s">
        <v>0</v>
      </c>
      <c r="F123" s="1" t="s">
        <v>4</v>
      </c>
      <c r="G123" s="1" t="s">
        <v>5</v>
      </c>
      <c r="H123" s="1">
        <v>9.06</v>
      </c>
      <c r="I123" s="1">
        <v>0</v>
      </c>
      <c r="J123" s="13">
        <v>21503</v>
      </c>
      <c r="M123">
        <v>49373</v>
      </c>
      <c r="N123">
        <v>43672</v>
      </c>
    </row>
    <row r="124" spans="3:14" x14ac:dyDescent="0.25">
      <c r="C124" s="3">
        <v>119</v>
      </c>
      <c r="D124" s="1">
        <v>37</v>
      </c>
      <c r="E124" s="1" t="s">
        <v>0</v>
      </c>
      <c r="F124" s="1" t="s">
        <v>4</v>
      </c>
      <c r="G124" s="1" t="s">
        <v>6</v>
      </c>
      <c r="H124" s="1">
        <v>7.79</v>
      </c>
      <c r="I124" s="1">
        <v>2</v>
      </c>
      <c r="J124" s="13">
        <v>16716</v>
      </c>
      <c r="M124">
        <v>26126</v>
      </c>
      <c r="N124">
        <v>64197</v>
      </c>
    </row>
    <row r="125" spans="3:14" x14ac:dyDescent="0.25">
      <c r="C125" s="3">
        <v>120</v>
      </c>
      <c r="D125" s="1">
        <v>44</v>
      </c>
      <c r="E125" s="1" t="s">
        <v>3</v>
      </c>
      <c r="F125" s="1" t="s">
        <v>4</v>
      </c>
      <c r="G125" s="1" t="s">
        <v>2</v>
      </c>
      <c r="H125" s="1">
        <v>12.37</v>
      </c>
      <c r="I125" s="1">
        <v>2</v>
      </c>
      <c r="J125" s="13">
        <v>19351</v>
      </c>
      <c r="M125">
        <v>12880</v>
      </c>
      <c r="N125">
        <v>98104</v>
      </c>
    </row>
    <row r="126" spans="3:14" x14ac:dyDescent="0.25">
      <c r="C126" s="3">
        <v>121</v>
      </c>
      <c r="D126" s="1">
        <v>18</v>
      </c>
      <c r="E126" s="1" t="s">
        <v>3</v>
      </c>
      <c r="F126" s="1" t="s">
        <v>4</v>
      </c>
      <c r="G126" s="1" t="s">
        <v>7</v>
      </c>
      <c r="H126" s="1">
        <v>7.92</v>
      </c>
      <c r="I126" s="1">
        <v>0</v>
      </c>
      <c r="J126" s="13">
        <v>4264</v>
      </c>
      <c r="M126">
        <v>12570</v>
      </c>
      <c r="N126">
        <v>107425</v>
      </c>
    </row>
    <row r="127" spans="3:14" x14ac:dyDescent="0.25">
      <c r="C127" s="3">
        <v>122</v>
      </c>
      <c r="D127" s="1">
        <v>20</v>
      </c>
      <c r="E127" s="1" t="s">
        <v>0</v>
      </c>
      <c r="F127" s="1" t="s">
        <v>4</v>
      </c>
      <c r="G127" s="1" t="s">
        <v>6</v>
      </c>
      <c r="H127" s="1">
        <v>9.66</v>
      </c>
      <c r="I127" s="1">
        <v>0</v>
      </c>
      <c r="J127" s="13">
        <v>5644</v>
      </c>
      <c r="M127">
        <v>26018</v>
      </c>
      <c r="N127">
        <v>58266</v>
      </c>
    </row>
    <row r="128" spans="3:14" x14ac:dyDescent="0.25">
      <c r="C128" s="3">
        <v>123</v>
      </c>
      <c r="D128" s="1">
        <v>44</v>
      </c>
      <c r="E128" s="1" t="s">
        <v>3</v>
      </c>
      <c r="F128" s="1" t="s">
        <v>1</v>
      </c>
      <c r="G128" s="1" t="s">
        <v>7</v>
      </c>
      <c r="H128" s="1">
        <v>10.45</v>
      </c>
      <c r="I128" s="1">
        <v>1</v>
      </c>
      <c r="J128" s="13">
        <v>98891</v>
      </c>
      <c r="M128">
        <v>12077</v>
      </c>
      <c r="N128">
        <v>86100</v>
      </c>
    </row>
    <row r="129" spans="3:14" x14ac:dyDescent="0.25">
      <c r="C129" s="3">
        <v>124</v>
      </c>
      <c r="D129" s="1">
        <v>47</v>
      </c>
      <c r="E129" s="1" t="s">
        <v>0</v>
      </c>
      <c r="F129" s="1" t="s">
        <v>4</v>
      </c>
      <c r="G129" s="1" t="s">
        <v>6</v>
      </c>
      <c r="H129" s="1">
        <v>11.3</v>
      </c>
      <c r="I129" s="1">
        <v>3</v>
      </c>
      <c r="J129" s="13">
        <v>25288</v>
      </c>
      <c r="M129">
        <v>15322</v>
      </c>
      <c r="N129">
        <v>100456</v>
      </c>
    </row>
    <row r="130" spans="3:14" x14ac:dyDescent="0.25">
      <c r="C130" s="3">
        <v>125</v>
      </c>
      <c r="D130" s="1">
        <v>26</v>
      </c>
      <c r="E130" s="1" t="s">
        <v>0</v>
      </c>
      <c r="F130" s="1" t="s">
        <v>4</v>
      </c>
      <c r="G130" s="1" t="s">
        <v>7</v>
      </c>
      <c r="H130" s="1">
        <v>9.6</v>
      </c>
      <c r="I130" s="1">
        <v>0</v>
      </c>
      <c r="J130" s="13">
        <v>8463</v>
      </c>
      <c r="M130">
        <v>6798</v>
      </c>
      <c r="N130">
        <v>86545</v>
      </c>
    </row>
    <row r="131" spans="3:14" x14ac:dyDescent="0.25">
      <c r="C131" s="3">
        <v>126</v>
      </c>
      <c r="D131" s="1">
        <v>19</v>
      </c>
      <c r="E131" s="1" t="s">
        <v>0</v>
      </c>
      <c r="F131" s="1" t="s">
        <v>1</v>
      </c>
      <c r="G131" s="1" t="s">
        <v>2</v>
      </c>
      <c r="H131" s="1">
        <v>9.43</v>
      </c>
      <c r="I131" s="1">
        <v>0</v>
      </c>
      <c r="J131" s="13">
        <v>42703</v>
      </c>
      <c r="M131">
        <v>12070</v>
      </c>
      <c r="N131">
        <v>107459</v>
      </c>
    </row>
    <row r="132" spans="3:14" x14ac:dyDescent="0.25">
      <c r="C132" s="3">
        <v>127</v>
      </c>
      <c r="D132" s="1">
        <v>52</v>
      </c>
      <c r="E132" s="1" t="s">
        <v>0</v>
      </c>
      <c r="F132" s="1" t="s">
        <v>4</v>
      </c>
      <c r="G132" s="1" t="s">
        <v>2</v>
      </c>
      <c r="H132" s="1">
        <v>12.47</v>
      </c>
      <c r="I132" s="1">
        <v>0</v>
      </c>
      <c r="J132" s="13">
        <v>24086</v>
      </c>
      <c r="M132">
        <v>33513</v>
      </c>
      <c r="N132">
        <v>50373</v>
      </c>
    </row>
    <row r="133" spans="3:14" x14ac:dyDescent="0.25">
      <c r="C133" s="3">
        <v>128</v>
      </c>
      <c r="D133" s="1">
        <v>32</v>
      </c>
      <c r="E133" s="1" t="s">
        <v>0</v>
      </c>
      <c r="F133" s="1" t="s">
        <v>1</v>
      </c>
      <c r="G133" s="1" t="s">
        <v>6</v>
      </c>
      <c r="H133" s="1">
        <v>5.92</v>
      </c>
      <c r="I133" s="1">
        <v>2</v>
      </c>
      <c r="J133" s="13">
        <v>81835</v>
      </c>
      <c r="M133">
        <v>20292</v>
      </c>
      <c r="N133">
        <v>81969</v>
      </c>
    </row>
    <row r="134" spans="3:14" x14ac:dyDescent="0.25">
      <c r="C134" s="3">
        <v>129</v>
      </c>
      <c r="D134" s="1">
        <v>38</v>
      </c>
      <c r="E134" s="1" t="s">
        <v>3</v>
      </c>
      <c r="F134" s="1" t="s">
        <v>4</v>
      </c>
      <c r="G134" s="1" t="s">
        <v>2</v>
      </c>
      <c r="H134" s="1">
        <v>11.57</v>
      </c>
      <c r="I134" s="1">
        <v>2</v>
      </c>
      <c r="J134" s="13">
        <v>15206</v>
      </c>
      <c r="M134">
        <v>4237</v>
      </c>
      <c r="N134">
        <v>61669</v>
      </c>
    </row>
    <row r="135" spans="3:14" x14ac:dyDescent="0.25">
      <c r="C135" s="3">
        <v>130</v>
      </c>
      <c r="D135" s="1">
        <v>59</v>
      </c>
      <c r="E135" s="1" t="s">
        <v>0</v>
      </c>
      <c r="F135" s="1" t="s">
        <v>4</v>
      </c>
      <c r="G135" s="1" t="s">
        <v>7</v>
      </c>
      <c r="H135" s="1">
        <v>8.83</v>
      </c>
      <c r="I135" s="1">
        <v>0</v>
      </c>
      <c r="J135" s="13">
        <v>32039</v>
      </c>
      <c r="M135">
        <v>13115</v>
      </c>
      <c r="N135">
        <v>67595</v>
      </c>
    </row>
    <row r="136" spans="3:14" x14ac:dyDescent="0.25">
      <c r="C136" s="3">
        <v>131</v>
      </c>
      <c r="D136" s="1">
        <v>61</v>
      </c>
      <c r="E136" s="1" t="s">
        <v>0</v>
      </c>
      <c r="F136" s="1" t="s">
        <v>4</v>
      </c>
      <c r="G136" s="1" t="s">
        <v>7</v>
      </c>
      <c r="H136" s="1">
        <v>7.35</v>
      </c>
      <c r="I136" s="1">
        <v>0</v>
      </c>
      <c r="J136" s="13">
        <v>34041</v>
      </c>
      <c r="M136">
        <v>7139</v>
      </c>
      <c r="N136">
        <v>106401</v>
      </c>
    </row>
    <row r="137" spans="3:14" x14ac:dyDescent="0.25">
      <c r="C137" s="3">
        <v>132</v>
      </c>
      <c r="D137" s="1">
        <v>53</v>
      </c>
      <c r="E137" s="1" t="s">
        <v>0</v>
      </c>
      <c r="F137" s="1" t="s">
        <v>4</v>
      </c>
      <c r="G137" s="1" t="s">
        <v>2</v>
      </c>
      <c r="H137" s="1">
        <v>11.97</v>
      </c>
      <c r="I137" s="1">
        <v>2</v>
      </c>
      <c r="J137" s="13">
        <v>27909</v>
      </c>
      <c r="M137">
        <v>16140</v>
      </c>
      <c r="N137">
        <v>100008</v>
      </c>
    </row>
    <row r="138" spans="3:14" x14ac:dyDescent="0.25">
      <c r="C138" s="3">
        <v>133</v>
      </c>
      <c r="D138" s="1">
        <v>19</v>
      </c>
      <c r="E138" s="1" t="s">
        <v>3</v>
      </c>
      <c r="F138" s="1" t="s">
        <v>4</v>
      </c>
      <c r="G138" s="1" t="s">
        <v>6</v>
      </c>
      <c r="H138" s="1">
        <v>8.52</v>
      </c>
      <c r="I138" s="1">
        <v>0</v>
      </c>
      <c r="J138" s="13">
        <v>4081</v>
      </c>
      <c r="M138">
        <v>26090</v>
      </c>
      <c r="N138">
        <v>114276</v>
      </c>
    </row>
    <row r="139" spans="3:14" x14ac:dyDescent="0.25">
      <c r="C139" s="3">
        <v>134</v>
      </c>
      <c r="D139" s="1">
        <v>20</v>
      </c>
      <c r="E139" s="1" t="s">
        <v>0</v>
      </c>
      <c r="F139" s="1" t="s">
        <v>4</v>
      </c>
      <c r="G139" s="1" t="s">
        <v>7</v>
      </c>
      <c r="H139" s="1">
        <v>9.6</v>
      </c>
      <c r="I139" s="1">
        <v>0</v>
      </c>
      <c r="J139" s="13">
        <v>6143</v>
      </c>
      <c r="M139">
        <v>22058</v>
      </c>
      <c r="N139">
        <v>115502</v>
      </c>
    </row>
    <row r="140" spans="3:14" x14ac:dyDescent="0.25">
      <c r="C140" s="3">
        <v>135</v>
      </c>
      <c r="D140" s="1">
        <v>22</v>
      </c>
      <c r="E140" s="1" t="s">
        <v>0</v>
      </c>
      <c r="F140" s="1" t="s">
        <v>4</v>
      </c>
      <c r="G140" s="1" t="s">
        <v>5</v>
      </c>
      <c r="H140" s="1">
        <v>9.35</v>
      </c>
      <c r="I140" s="1">
        <v>0</v>
      </c>
      <c r="J140" s="13">
        <v>5389</v>
      </c>
      <c r="M140">
        <v>21346</v>
      </c>
      <c r="N140">
        <v>115326</v>
      </c>
    </row>
    <row r="141" spans="3:14" x14ac:dyDescent="0.25">
      <c r="C141" s="3">
        <v>136</v>
      </c>
      <c r="D141" s="1">
        <v>19</v>
      </c>
      <c r="E141" s="1" t="s">
        <v>3</v>
      </c>
      <c r="F141" s="1" t="s">
        <v>4</v>
      </c>
      <c r="G141" s="1" t="s">
        <v>2</v>
      </c>
      <c r="H141" s="1">
        <v>11.37</v>
      </c>
      <c r="I141" s="1">
        <v>0</v>
      </c>
      <c r="J141" s="13">
        <v>3154</v>
      </c>
      <c r="M141">
        <v>29340</v>
      </c>
      <c r="N141">
        <v>100260</v>
      </c>
    </row>
    <row r="142" spans="3:14" x14ac:dyDescent="0.25">
      <c r="C142" s="3">
        <v>137</v>
      </c>
      <c r="D142" s="1">
        <v>22</v>
      </c>
      <c r="E142" s="1" t="s">
        <v>3</v>
      </c>
      <c r="F142" s="1" t="s">
        <v>4</v>
      </c>
      <c r="G142" s="1" t="s">
        <v>6</v>
      </c>
      <c r="H142" s="1">
        <v>8.39</v>
      </c>
      <c r="I142" s="1">
        <v>0</v>
      </c>
      <c r="J142" s="13">
        <v>5114</v>
      </c>
      <c r="M142">
        <v>4080</v>
      </c>
      <c r="N142">
        <v>87016</v>
      </c>
    </row>
    <row r="143" spans="3:14" x14ac:dyDescent="0.25">
      <c r="C143" s="3">
        <v>138</v>
      </c>
      <c r="D143" s="1">
        <v>54</v>
      </c>
      <c r="E143" s="1" t="s">
        <v>0</v>
      </c>
      <c r="F143" s="1" t="s">
        <v>4</v>
      </c>
      <c r="G143" s="1" t="s">
        <v>5</v>
      </c>
      <c r="H143" s="1">
        <v>10.63</v>
      </c>
      <c r="I143" s="1">
        <v>3</v>
      </c>
      <c r="J143" s="13">
        <v>68307</v>
      </c>
      <c r="M143">
        <v>10014</v>
      </c>
      <c r="N143">
        <v>100684</v>
      </c>
    </row>
    <row r="144" spans="3:14" x14ac:dyDescent="0.25">
      <c r="C144" s="3">
        <v>139</v>
      </c>
      <c r="D144" s="1">
        <v>22</v>
      </c>
      <c r="E144" s="1" t="s">
        <v>0</v>
      </c>
      <c r="F144" s="1" t="s">
        <v>4</v>
      </c>
      <c r="G144" s="1" t="s">
        <v>2</v>
      </c>
      <c r="H144" s="1">
        <v>12</v>
      </c>
      <c r="I144" s="1">
        <v>0</v>
      </c>
      <c r="J144" s="13">
        <v>5417</v>
      </c>
      <c r="M144">
        <v>18549</v>
      </c>
      <c r="N144">
        <v>111001</v>
      </c>
    </row>
    <row r="145" spans="3:14" x14ac:dyDescent="0.25">
      <c r="C145" s="3">
        <v>140</v>
      </c>
      <c r="D145" s="1">
        <v>34</v>
      </c>
      <c r="E145" s="1" t="s">
        <v>3</v>
      </c>
      <c r="F145" s="1" t="s">
        <v>4</v>
      </c>
      <c r="G145" s="1" t="s">
        <v>7</v>
      </c>
      <c r="H145" s="1">
        <v>7.47</v>
      </c>
      <c r="I145" s="1">
        <v>2</v>
      </c>
      <c r="J145" s="13">
        <v>68440</v>
      </c>
      <c r="M145">
        <v>19329</v>
      </c>
      <c r="N145">
        <v>102331</v>
      </c>
    </row>
    <row r="146" spans="3:14" x14ac:dyDescent="0.25">
      <c r="C146" s="3">
        <v>141</v>
      </c>
      <c r="D146" s="1">
        <v>26</v>
      </c>
      <c r="E146" s="1" t="s">
        <v>3</v>
      </c>
      <c r="F146" s="1" t="s">
        <v>4</v>
      </c>
      <c r="G146" s="1" t="s">
        <v>7</v>
      </c>
      <c r="H146" s="1">
        <v>10.83</v>
      </c>
      <c r="I146" s="1">
        <v>1</v>
      </c>
      <c r="J146" s="13">
        <v>8726</v>
      </c>
      <c r="M146">
        <v>9955</v>
      </c>
      <c r="N146">
        <v>41644</v>
      </c>
    </row>
    <row r="147" spans="3:14" x14ac:dyDescent="0.25">
      <c r="C147" s="3">
        <v>142</v>
      </c>
      <c r="D147" s="1">
        <v>34</v>
      </c>
      <c r="E147" s="1" t="s">
        <v>3</v>
      </c>
      <c r="F147" s="1" t="s">
        <v>1</v>
      </c>
      <c r="G147" s="1" t="s">
        <v>5</v>
      </c>
      <c r="H147" s="1">
        <v>8.43</v>
      </c>
      <c r="I147" s="1">
        <v>2</v>
      </c>
      <c r="J147" s="13">
        <v>47431</v>
      </c>
      <c r="M147">
        <v>13314</v>
      </c>
      <c r="N147">
        <v>48405</v>
      </c>
    </row>
    <row r="148" spans="3:14" x14ac:dyDescent="0.25">
      <c r="C148" s="3">
        <v>143</v>
      </c>
      <c r="D148" s="1">
        <v>29</v>
      </c>
      <c r="E148" s="1" t="s">
        <v>3</v>
      </c>
      <c r="F148" s="1" t="s">
        <v>4</v>
      </c>
      <c r="G148" s="1" t="s">
        <v>6</v>
      </c>
      <c r="H148" s="1">
        <v>9.91</v>
      </c>
      <c r="I148" s="1">
        <v>2</v>
      </c>
      <c r="J148" s="13">
        <v>45395</v>
      </c>
      <c r="M148">
        <v>16940</v>
      </c>
      <c r="N148">
        <v>101048</v>
      </c>
    </row>
    <row r="149" spans="3:14" x14ac:dyDescent="0.25">
      <c r="C149" s="3">
        <v>144</v>
      </c>
      <c r="D149" s="1">
        <v>30</v>
      </c>
      <c r="E149" s="1" t="s">
        <v>3</v>
      </c>
      <c r="F149" s="1" t="s">
        <v>1</v>
      </c>
      <c r="G149" s="1" t="s">
        <v>6</v>
      </c>
      <c r="H149" s="1">
        <v>9.56</v>
      </c>
      <c r="I149" s="1">
        <v>3</v>
      </c>
      <c r="J149" s="13">
        <v>51865</v>
      </c>
      <c r="M149">
        <v>12307</v>
      </c>
      <c r="N149">
        <v>90473</v>
      </c>
    </row>
    <row r="150" spans="3:14" x14ac:dyDescent="0.25">
      <c r="C150" s="3">
        <v>145</v>
      </c>
      <c r="D150" s="1">
        <v>29</v>
      </c>
      <c r="E150" s="1" t="s">
        <v>0</v>
      </c>
      <c r="F150" s="1" t="s">
        <v>4</v>
      </c>
      <c r="G150" s="1" t="s">
        <v>5</v>
      </c>
      <c r="H150" s="1">
        <v>12.94</v>
      </c>
      <c r="I150" s="1">
        <v>3</v>
      </c>
      <c r="J150" s="13">
        <v>12846</v>
      </c>
      <c r="M150">
        <v>31394</v>
      </c>
      <c r="N150">
        <v>111464</v>
      </c>
    </row>
    <row r="151" spans="3:14" x14ac:dyDescent="0.25">
      <c r="C151" s="3">
        <v>146</v>
      </c>
      <c r="D151" s="1">
        <v>46</v>
      </c>
      <c r="E151" s="1" t="s">
        <v>3</v>
      </c>
      <c r="F151" s="1" t="s">
        <v>1</v>
      </c>
      <c r="G151" s="1" t="s">
        <v>6</v>
      </c>
      <c r="H151" s="1">
        <v>10.17</v>
      </c>
      <c r="I151" s="1">
        <v>3</v>
      </c>
      <c r="J151" s="13">
        <v>101801</v>
      </c>
      <c r="M151">
        <v>12210</v>
      </c>
      <c r="N151">
        <v>45616</v>
      </c>
    </row>
    <row r="152" spans="3:14" x14ac:dyDescent="0.25">
      <c r="C152" s="3">
        <v>147</v>
      </c>
      <c r="D152" s="1">
        <v>51</v>
      </c>
      <c r="E152" s="1" t="s">
        <v>0</v>
      </c>
      <c r="F152" s="1" t="s">
        <v>4</v>
      </c>
      <c r="G152" s="1" t="s">
        <v>5</v>
      </c>
      <c r="H152" s="1">
        <v>12.58</v>
      </c>
      <c r="I152" s="1">
        <v>1</v>
      </c>
      <c r="J152" s="13">
        <v>24694</v>
      </c>
      <c r="M152">
        <v>5344</v>
      </c>
      <c r="N152">
        <v>108136</v>
      </c>
    </row>
    <row r="153" spans="3:14" x14ac:dyDescent="0.25">
      <c r="C153" s="3">
        <v>148</v>
      </c>
      <c r="D153" s="1">
        <v>53</v>
      </c>
      <c r="E153" s="1" t="s">
        <v>0</v>
      </c>
      <c r="F153" s="1" t="s">
        <v>4</v>
      </c>
      <c r="G153" s="1" t="s">
        <v>6</v>
      </c>
      <c r="H153" s="1">
        <v>12.48</v>
      </c>
      <c r="I153" s="1">
        <v>1</v>
      </c>
      <c r="J153" s="13">
        <v>27399</v>
      </c>
      <c r="M153">
        <v>30111</v>
      </c>
      <c r="N153">
        <v>48848</v>
      </c>
    </row>
    <row r="154" spans="3:14" x14ac:dyDescent="0.25">
      <c r="C154" s="3">
        <v>149</v>
      </c>
      <c r="D154" s="1">
        <v>19</v>
      </c>
      <c r="E154" s="1" t="s">
        <v>3</v>
      </c>
      <c r="F154" s="1" t="s">
        <v>4</v>
      </c>
      <c r="G154" s="1" t="s">
        <v>2</v>
      </c>
      <c r="H154" s="1">
        <v>9.4700000000000006</v>
      </c>
      <c r="I154" s="1">
        <v>1</v>
      </c>
      <c r="J154" s="13">
        <v>4606</v>
      </c>
      <c r="M154">
        <v>2844</v>
      </c>
      <c r="N154">
        <v>57664</v>
      </c>
    </row>
    <row r="155" spans="3:14" x14ac:dyDescent="0.25">
      <c r="C155" s="3">
        <v>150</v>
      </c>
      <c r="D155" s="1">
        <v>35</v>
      </c>
      <c r="E155" s="1" t="s">
        <v>3</v>
      </c>
      <c r="F155" s="1" t="s">
        <v>4</v>
      </c>
      <c r="G155" s="1" t="s">
        <v>6</v>
      </c>
      <c r="H155" s="1">
        <v>8.0399999999999991</v>
      </c>
      <c r="I155" s="1">
        <v>1</v>
      </c>
      <c r="J155" s="13">
        <v>12813</v>
      </c>
      <c r="M155">
        <v>4099</v>
      </c>
      <c r="N155">
        <v>90769</v>
      </c>
    </row>
    <row r="156" spans="3:14" x14ac:dyDescent="0.25">
      <c r="C156" s="3">
        <v>151</v>
      </c>
      <c r="D156" s="1">
        <v>48</v>
      </c>
      <c r="E156" s="1" t="s">
        <v>3</v>
      </c>
      <c r="F156" s="1" t="s">
        <v>4</v>
      </c>
      <c r="G156" s="1" t="s">
        <v>5</v>
      </c>
      <c r="H156" s="1">
        <v>9.9</v>
      </c>
      <c r="I156" s="1">
        <v>0</v>
      </c>
      <c r="J156" s="13">
        <v>19474</v>
      </c>
      <c r="M156">
        <v>14124</v>
      </c>
      <c r="N156">
        <v>47602</v>
      </c>
    </row>
    <row r="157" spans="3:14" x14ac:dyDescent="0.25">
      <c r="C157" s="3">
        <v>152</v>
      </c>
      <c r="D157" s="1">
        <v>32</v>
      </c>
      <c r="E157" s="1" t="s">
        <v>0</v>
      </c>
      <c r="F157" s="1" t="s">
        <v>4</v>
      </c>
      <c r="G157" s="1" t="s">
        <v>7</v>
      </c>
      <c r="H157" s="1">
        <v>12.38</v>
      </c>
      <c r="I157" s="1">
        <v>3</v>
      </c>
      <c r="J157" s="13">
        <v>15836</v>
      </c>
      <c r="M157">
        <v>21292</v>
      </c>
      <c r="N157">
        <v>44371</v>
      </c>
    </row>
    <row r="158" spans="3:14" x14ac:dyDescent="0.25">
      <c r="C158" s="3">
        <v>153</v>
      </c>
      <c r="D158" s="1">
        <v>42</v>
      </c>
      <c r="E158" s="1" t="s">
        <v>0</v>
      </c>
      <c r="F158" s="1" t="s">
        <v>1</v>
      </c>
      <c r="G158" s="1" t="s">
        <v>7</v>
      </c>
      <c r="H158" s="1">
        <v>7.79</v>
      </c>
      <c r="I158" s="1">
        <v>0</v>
      </c>
      <c r="J158" s="13">
        <v>49912</v>
      </c>
      <c r="M158">
        <v>24111</v>
      </c>
      <c r="N158">
        <v>45648</v>
      </c>
    </row>
    <row r="159" spans="3:14" x14ac:dyDescent="0.25">
      <c r="C159" s="3">
        <v>154</v>
      </c>
      <c r="D159" s="1">
        <v>40</v>
      </c>
      <c r="E159" s="1" t="s">
        <v>0</v>
      </c>
      <c r="F159" s="1" t="s">
        <v>4</v>
      </c>
      <c r="G159" s="1" t="s">
        <v>7</v>
      </c>
      <c r="H159" s="1">
        <v>8.49</v>
      </c>
      <c r="I159" s="1">
        <v>1</v>
      </c>
      <c r="J159" s="13">
        <v>17693</v>
      </c>
      <c r="M159">
        <v>37254</v>
      </c>
      <c r="N159">
        <v>61301</v>
      </c>
    </row>
    <row r="160" spans="3:14" x14ac:dyDescent="0.25">
      <c r="C160" s="3">
        <v>155</v>
      </c>
      <c r="D160" s="1">
        <v>44</v>
      </c>
      <c r="E160" s="1" t="s">
        <v>3</v>
      </c>
      <c r="F160" s="1" t="s">
        <v>4</v>
      </c>
      <c r="G160" s="1" t="s">
        <v>6</v>
      </c>
      <c r="H160" s="1">
        <v>13.17</v>
      </c>
      <c r="I160" s="1">
        <v>0</v>
      </c>
      <c r="J160" s="13">
        <v>17372</v>
      </c>
      <c r="M160">
        <v>5327</v>
      </c>
      <c r="N160">
        <v>52990</v>
      </c>
    </row>
    <row r="161" spans="3:14" x14ac:dyDescent="0.25">
      <c r="C161" s="3">
        <v>156</v>
      </c>
      <c r="D161" s="1">
        <v>48</v>
      </c>
      <c r="E161" s="1" t="s">
        <v>3</v>
      </c>
      <c r="F161" s="1" t="s">
        <v>1</v>
      </c>
      <c r="G161" s="1" t="s">
        <v>5</v>
      </c>
      <c r="H161" s="1">
        <v>8.14</v>
      </c>
      <c r="I161" s="1">
        <v>0</v>
      </c>
      <c r="J161" s="13">
        <v>53059</v>
      </c>
      <c r="M161">
        <v>22178</v>
      </c>
      <c r="N161">
        <v>45777</v>
      </c>
    </row>
    <row r="162" spans="3:14" x14ac:dyDescent="0.25">
      <c r="C162" s="3">
        <v>157</v>
      </c>
      <c r="D162" s="1">
        <v>18</v>
      </c>
      <c r="E162" s="1" t="s">
        <v>3</v>
      </c>
      <c r="F162" s="1" t="s">
        <v>1</v>
      </c>
      <c r="G162" s="1" t="s">
        <v>7</v>
      </c>
      <c r="H162" s="1">
        <v>8.39</v>
      </c>
      <c r="I162" s="1">
        <v>0</v>
      </c>
      <c r="J162" s="13">
        <v>38795</v>
      </c>
      <c r="M162">
        <v>32531</v>
      </c>
      <c r="N162">
        <v>44761</v>
      </c>
    </row>
    <row r="163" spans="3:14" x14ac:dyDescent="0.25">
      <c r="C163" s="3">
        <v>158</v>
      </c>
      <c r="D163" s="1">
        <v>30</v>
      </c>
      <c r="E163" s="1" t="s">
        <v>3</v>
      </c>
      <c r="F163" s="1" t="s">
        <v>1</v>
      </c>
      <c r="G163" s="1" t="s">
        <v>5</v>
      </c>
      <c r="H163" s="1">
        <v>11.84</v>
      </c>
      <c r="I163" s="1">
        <v>0</v>
      </c>
      <c r="J163" s="13">
        <v>92376</v>
      </c>
      <c r="M163">
        <v>17868</v>
      </c>
      <c r="N163">
        <v>96982</v>
      </c>
    </row>
    <row r="164" spans="3:14" x14ac:dyDescent="0.25">
      <c r="C164" s="3">
        <v>159</v>
      </c>
      <c r="D164" s="1">
        <v>50</v>
      </c>
      <c r="E164" s="1" t="s">
        <v>0</v>
      </c>
      <c r="F164" s="1" t="s">
        <v>4</v>
      </c>
      <c r="G164" s="1" t="s">
        <v>5</v>
      </c>
      <c r="H164" s="1">
        <v>9.2799999999999994</v>
      </c>
      <c r="I164" s="1">
        <v>3</v>
      </c>
      <c r="J164" s="13">
        <v>49373</v>
      </c>
      <c r="M164">
        <v>10844</v>
      </c>
      <c r="N164">
        <v>58503</v>
      </c>
    </row>
    <row r="165" spans="3:14" x14ac:dyDescent="0.25">
      <c r="C165" s="3">
        <v>160</v>
      </c>
      <c r="D165" s="1">
        <v>42</v>
      </c>
      <c r="E165" s="1" t="s">
        <v>0</v>
      </c>
      <c r="F165" s="1" t="s">
        <v>1</v>
      </c>
      <c r="G165" s="1" t="s">
        <v>6</v>
      </c>
      <c r="H165" s="1">
        <v>8.8699999999999992</v>
      </c>
      <c r="I165" s="1">
        <v>0</v>
      </c>
      <c r="J165" s="13">
        <v>53372</v>
      </c>
      <c r="M165">
        <v>29358</v>
      </c>
      <c r="N165">
        <v>137839</v>
      </c>
    </row>
    <row r="166" spans="3:14" x14ac:dyDescent="0.25">
      <c r="C166" s="3">
        <v>161</v>
      </c>
      <c r="D166" s="1">
        <v>18</v>
      </c>
      <c r="E166" s="1" t="s">
        <v>0</v>
      </c>
      <c r="F166" s="1" t="s">
        <v>1</v>
      </c>
      <c r="G166" s="1" t="s">
        <v>5</v>
      </c>
      <c r="H166" s="1">
        <v>12.28</v>
      </c>
      <c r="I166" s="1">
        <v>0</v>
      </c>
      <c r="J166" s="13">
        <v>90374</v>
      </c>
      <c r="M166">
        <v>34702</v>
      </c>
      <c r="N166">
        <v>109535</v>
      </c>
    </row>
    <row r="167" spans="3:14" x14ac:dyDescent="0.25">
      <c r="C167" s="3">
        <v>162</v>
      </c>
      <c r="D167" s="1">
        <v>54</v>
      </c>
      <c r="E167" s="1" t="s">
        <v>3</v>
      </c>
      <c r="F167" s="1" t="s">
        <v>4</v>
      </c>
      <c r="G167" s="1" t="s">
        <v>2</v>
      </c>
      <c r="H167" s="1">
        <v>13.2</v>
      </c>
      <c r="I167" s="1">
        <v>1</v>
      </c>
      <c r="J167" s="13">
        <v>26126</v>
      </c>
      <c r="M167">
        <v>16525</v>
      </c>
      <c r="N167">
        <v>51934</v>
      </c>
    </row>
    <row r="168" spans="3:14" x14ac:dyDescent="0.25">
      <c r="C168" s="3">
        <v>163</v>
      </c>
      <c r="D168" s="1">
        <v>32</v>
      </c>
      <c r="E168" s="1" t="s">
        <v>0</v>
      </c>
      <c r="F168" s="1" t="s">
        <v>4</v>
      </c>
      <c r="G168" s="1" t="s">
        <v>2</v>
      </c>
      <c r="H168" s="1">
        <v>9.93</v>
      </c>
      <c r="I168" s="1">
        <v>2</v>
      </c>
      <c r="J168" s="13">
        <v>12880</v>
      </c>
      <c r="M168">
        <v>4950</v>
      </c>
      <c r="N168">
        <v>98994</v>
      </c>
    </row>
    <row r="169" spans="3:14" x14ac:dyDescent="0.25">
      <c r="C169" s="3">
        <v>164</v>
      </c>
      <c r="D169" s="1">
        <v>37</v>
      </c>
      <c r="E169" s="1" t="s">
        <v>3</v>
      </c>
      <c r="F169" s="1" t="s">
        <v>4</v>
      </c>
      <c r="G169" s="1" t="s">
        <v>6</v>
      </c>
      <c r="H169" s="1">
        <v>9.8800000000000008</v>
      </c>
      <c r="I169" s="1">
        <v>0</v>
      </c>
      <c r="J169" s="13">
        <v>12570</v>
      </c>
      <c r="M169">
        <v>20407</v>
      </c>
      <c r="N169">
        <v>90053</v>
      </c>
    </row>
    <row r="170" spans="3:14" x14ac:dyDescent="0.25">
      <c r="C170" s="3">
        <v>165</v>
      </c>
      <c r="D170" s="1">
        <v>47</v>
      </c>
      <c r="E170" s="1" t="s">
        <v>3</v>
      </c>
      <c r="F170" s="1" t="s">
        <v>4</v>
      </c>
      <c r="G170" s="1" t="s">
        <v>7</v>
      </c>
      <c r="H170" s="1">
        <v>9.4</v>
      </c>
      <c r="I170" s="1">
        <v>4</v>
      </c>
      <c r="J170" s="13">
        <v>26018</v>
      </c>
      <c r="M170">
        <v>8844</v>
      </c>
      <c r="N170">
        <v>68835</v>
      </c>
    </row>
    <row r="171" spans="3:14" x14ac:dyDescent="0.25">
      <c r="C171" s="3">
        <v>166</v>
      </c>
      <c r="D171" s="1">
        <v>20</v>
      </c>
      <c r="E171" s="1" t="s">
        <v>0</v>
      </c>
      <c r="F171" s="1" t="s">
        <v>4</v>
      </c>
      <c r="G171" s="1" t="s">
        <v>2</v>
      </c>
      <c r="H171" s="1">
        <v>12.33</v>
      </c>
      <c r="I171" s="1">
        <v>5</v>
      </c>
      <c r="J171" s="13">
        <v>12077</v>
      </c>
      <c r="M171">
        <v>12507</v>
      </c>
      <c r="N171">
        <v>112522</v>
      </c>
    </row>
    <row r="172" spans="3:14" x14ac:dyDescent="0.25">
      <c r="C172" s="3">
        <v>167</v>
      </c>
      <c r="D172" s="1">
        <v>32</v>
      </c>
      <c r="E172" s="1" t="s">
        <v>0</v>
      </c>
      <c r="F172" s="1" t="s">
        <v>4</v>
      </c>
      <c r="G172" s="1" t="s">
        <v>6</v>
      </c>
      <c r="H172" s="1">
        <v>11.05</v>
      </c>
      <c r="I172" s="1">
        <v>3</v>
      </c>
      <c r="J172" s="13">
        <v>15322</v>
      </c>
      <c r="M172">
        <v>21300</v>
      </c>
      <c r="N172">
        <v>93175</v>
      </c>
    </row>
    <row r="173" spans="3:14" x14ac:dyDescent="0.25">
      <c r="C173" s="3">
        <v>168</v>
      </c>
      <c r="D173" s="1">
        <v>19</v>
      </c>
      <c r="E173" s="1" t="s">
        <v>0</v>
      </c>
      <c r="F173" s="1" t="s">
        <v>4</v>
      </c>
      <c r="G173" s="1" t="s">
        <v>6</v>
      </c>
      <c r="H173" s="1">
        <v>10.61</v>
      </c>
      <c r="I173" s="1">
        <v>1</v>
      </c>
      <c r="J173" s="13">
        <v>6798</v>
      </c>
      <c r="M173">
        <v>18429</v>
      </c>
      <c r="N173">
        <v>105279</v>
      </c>
    </row>
    <row r="174" spans="3:14" x14ac:dyDescent="0.25">
      <c r="C174" s="3">
        <v>169</v>
      </c>
      <c r="D174" s="1">
        <v>27</v>
      </c>
      <c r="E174" s="1" t="s">
        <v>3</v>
      </c>
      <c r="F174" s="1" t="s">
        <v>4</v>
      </c>
      <c r="G174" s="1" t="s">
        <v>7</v>
      </c>
      <c r="H174" s="1">
        <v>6.3</v>
      </c>
      <c r="I174" s="1">
        <v>3</v>
      </c>
      <c r="J174" s="13">
        <v>12070</v>
      </c>
      <c r="M174">
        <v>25889</v>
      </c>
      <c r="N174">
        <v>60267</v>
      </c>
    </row>
    <row r="175" spans="3:14" x14ac:dyDescent="0.25">
      <c r="C175" s="3">
        <v>170</v>
      </c>
      <c r="D175" s="1">
        <v>63</v>
      </c>
      <c r="E175" s="1" t="s">
        <v>3</v>
      </c>
      <c r="F175" s="1" t="s">
        <v>4</v>
      </c>
      <c r="G175" s="1" t="s">
        <v>5</v>
      </c>
      <c r="H175" s="1">
        <v>13.82</v>
      </c>
      <c r="I175" s="1">
        <v>0</v>
      </c>
      <c r="J175" s="13">
        <v>33513</v>
      </c>
      <c r="M175">
        <v>6209</v>
      </c>
      <c r="N175">
        <v>102435</v>
      </c>
    </row>
    <row r="176" spans="3:14" x14ac:dyDescent="0.25">
      <c r="C176" s="3">
        <v>171</v>
      </c>
      <c r="D176" s="1">
        <v>49</v>
      </c>
      <c r="E176" s="1" t="s">
        <v>3</v>
      </c>
      <c r="F176" s="1" t="s">
        <v>4</v>
      </c>
      <c r="G176" s="1" t="s">
        <v>2</v>
      </c>
      <c r="H176" s="1">
        <v>10.1</v>
      </c>
      <c r="I176" s="1">
        <v>0</v>
      </c>
      <c r="J176" s="13">
        <v>20292</v>
      </c>
      <c r="M176">
        <v>8482</v>
      </c>
      <c r="N176">
        <v>39545</v>
      </c>
    </row>
    <row r="177" spans="3:14" x14ac:dyDescent="0.25">
      <c r="C177" s="3">
        <v>172</v>
      </c>
      <c r="D177" s="1">
        <v>18</v>
      </c>
      <c r="E177" s="1" t="s">
        <v>3</v>
      </c>
      <c r="F177" s="1" t="s">
        <v>4</v>
      </c>
      <c r="G177" s="1" t="s">
        <v>7</v>
      </c>
      <c r="H177" s="1">
        <v>5.32</v>
      </c>
      <c r="I177" s="1">
        <v>0</v>
      </c>
      <c r="J177" s="13">
        <v>4237</v>
      </c>
      <c r="M177">
        <v>62704</v>
      </c>
      <c r="N177">
        <v>115284</v>
      </c>
    </row>
    <row r="178" spans="3:14" x14ac:dyDescent="0.25">
      <c r="C178" s="3">
        <v>173</v>
      </c>
      <c r="D178" s="1">
        <v>35</v>
      </c>
      <c r="E178" s="1" t="s">
        <v>0</v>
      </c>
      <c r="F178" s="1" t="s">
        <v>4</v>
      </c>
      <c r="G178" s="1" t="s">
        <v>2</v>
      </c>
      <c r="H178" s="1">
        <v>11.6</v>
      </c>
      <c r="I178" s="1">
        <v>1</v>
      </c>
      <c r="J178" s="13">
        <v>13115</v>
      </c>
      <c r="M178">
        <v>12531</v>
      </c>
      <c r="N178">
        <v>115638</v>
      </c>
    </row>
    <row r="179" spans="3:14" x14ac:dyDescent="0.25">
      <c r="C179" s="3">
        <v>174</v>
      </c>
      <c r="D179" s="1">
        <v>24</v>
      </c>
      <c r="E179" s="1" t="s">
        <v>0</v>
      </c>
      <c r="F179" s="1" t="s">
        <v>4</v>
      </c>
      <c r="G179" s="1" t="s">
        <v>6</v>
      </c>
      <c r="H179" s="1">
        <v>11.12</v>
      </c>
      <c r="I179" s="1">
        <v>0</v>
      </c>
      <c r="J179" s="13">
        <v>7139</v>
      </c>
      <c r="M179">
        <v>26412</v>
      </c>
      <c r="N179">
        <v>49299</v>
      </c>
    </row>
    <row r="180" spans="3:14" x14ac:dyDescent="0.25">
      <c r="C180" s="3">
        <v>175</v>
      </c>
      <c r="D180" s="1">
        <v>63</v>
      </c>
      <c r="E180" s="1" t="s">
        <v>0</v>
      </c>
      <c r="F180" s="1" t="s">
        <v>1</v>
      </c>
      <c r="G180" s="1" t="s">
        <v>2</v>
      </c>
      <c r="H180" s="1">
        <v>12.57</v>
      </c>
      <c r="I180" s="1">
        <v>0</v>
      </c>
      <c r="J180" s="13">
        <v>122061</v>
      </c>
      <c r="M180">
        <v>13134</v>
      </c>
      <c r="N180">
        <v>68046</v>
      </c>
    </row>
    <row r="181" spans="3:14" x14ac:dyDescent="0.25">
      <c r="C181" s="3">
        <v>176</v>
      </c>
      <c r="D181" s="1">
        <v>38</v>
      </c>
      <c r="E181" s="1" t="s">
        <v>3</v>
      </c>
      <c r="F181" s="1" t="s">
        <v>4</v>
      </c>
      <c r="G181" s="1" t="s">
        <v>6</v>
      </c>
      <c r="H181" s="1">
        <v>9.2799999999999994</v>
      </c>
      <c r="I181" s="1">
        <v>2</v>
      </c>
      <c r="J181" s="13">
        <v>16140</v>
      </c>
      <c r="M181">
        <v>29968</v>
      </c>
      <c r="N181">
        <v>73327</v>
      </c>
    </row>
    <row r="182" spans="3:14" x14ac:dyDescent="0.25">
      <c r="C182" s="3">
        <v>177</v>
      </c>
      <c r="D182" s="1">
        <v>54</v>
      </c>
      <c r="E182" s="1" t="s">
        <v>3</v>
      </c>
      <c r="F182" s="1" t="s">
        <v>4</v>
      </c>
      <c r="G182" s="1" t="s">
        <v>2</v>
      </c>
      <c r="H182" s="1">
        <v>9.73</v>
      </c>
      <c r="I182" s="1">
        <v>1</v>
      </c>
      <c r="J182" s="13">
        <v>26090</v>
      </c>
      <c r="M182">
        <v>6724</v>
      </c>
      <c r="N182">
        <v>110507</v>
      </c>
    </row>
    <row r="183" spans="3:14" x14ac:dyDescent="0.25">
      <c r="C183" s="3">
        <v>178</v>
      </c>
      <c r="D183" s="1">
        <v>46</v>
      </c>
      <c r="E183" s="1" t="s">
        <v>0</v>
      </c>
      <c r="F183" s="1" t="s">
        <v>4</v>
      </c>
      <c r="G183" s="1" t="s">
        <v>2</v>
      </c>
      <c r="H183" s="1">
        <v>9.6300000000000008</v>
      </c>
      <c r="I183" s="1">
        <v>2</v>
      </c>
      <c r="J183" s="13">
        <v>22058</v>
      </c>
      <c r="M183">
        <v>60568</v>
      </c>
      <c r="N183">
        <v>49495</v>
      </c>
    </row>
    <row r="184" spans="3:14" x14ac:dyDescent="0.25">
      <c r="C184" s="3">
        <v>179</v>
      </c>
      <c r="D184" s="1">
        <v>41</v>
      </c>
      <c r="E184" s="1" t="s">
        <v>0</v>
      </c>
      <c r="F184" s="1" t="s">
        <v>4</v>
      </c>
      <c r="G184" s="1" t="s">
        <v>7</v>
      </c>
      <c r="H184" s="1">
        <v>11.05</v>
      </c>
      <c r="I184" s="1">
        <v>3</v>
      </c>
      <c r="J184" s="13">
        <v>21346</v>
      </c>
      <c r="M184">
        <v>18395</v>
      </c>
      <c r="N184">
        <v>121684</v>
      </c>
    </row>
    <row r="185" spans="3:14" x14ac:dyDescent="0.25">
      <c r="C185" s="3">
        <v>180</v>
      </c>
      <c r="D185" s="1">
        <v>58</v>
      </c>
      <c r="E185" s="1" t="s">
        <v>3</v>
      </c>
      <c r="F185" s="1" t="s">
        <v>4</v>
      </c>
      <c r="G185" s="1" t="s">
        <v>6</v>
      </c>
      <c r="H185" s="1">
        <v>9.5299999999999994</v>
      </c>
      <c r="I185" s="1">
        <v>0</v>
      </c>
      <c r="J185" s="13">
        <v>29340</v>
      </c>
      <c r="M185">
        <v>23063</v>
      </c>
      <c r="N185">
        <v>43741</v>
      </c>
    </row>
    <row r="186" spans="3:14" x14ac:dyDescent="0.25">
      <c r="C186" s="3">
        <v>181</v>
      </c>
      <c r="D186" s="1">
        <v>18</v>
      </c>
      <c r="E186" s="1" t="s">
        <v>0</v>
      </c>
      <c r="F186" s="1" t="s">
        <v>4</v>
      </c>
      <c r="G186" s="1" t="s">
        <v>5</v>
      </c>
      <c r="H186" s="1">
        <v>12.76</v>
      </c>
      <c r="I186" s="1">
        <v>0</v>
      </c>
      <c r="J186" s="13">
        <v>4080</v>
      </c>
      <c r="M186">
        <v>18609</v>
      </c>
      <c r="N186">
        <v>84332</v>
      </c>
    </row>
    <row r="187" spans="3:14" x14ac:dyDescent="0.25">
      <c r="C187" s="3">
        <v>182</v>
      </c>
      <c r="D187" s="1">
        <v>22</v>
      </c>
      <c r="E187" s="1" t="s">
        <v>3</v>
      </c>
      <c r="F187" s="1" t="s">
        <v>4</v>
      </c>
      <c r="G187" s="1" t="s">
        <v>7</v>
      </c>
      <c r="H187" s="1">
        <v>6.65</v>
      </c>
      <c r="I187" s="1">
        <v>3</v>
      </c>
      <c r="J187" s="13">
        <v>10014</v>
      </c>
      <c r="M187">
        <v>35003</v>
      </c>
      <c r="N187">
        <v>54436</v>
      </c>
    </row>
    <row r="188" spans="3:14" x14ac:dyDescent="0.25">
      <c r="C188" s="3">
        <v>183</v>
      </c>
      <c r="D188" s="1">
        <v>44</v>
      </c>
      <c r="E188" s="1" t="s">
        <v>0</v>
      </c>
      <c r="F188" s="1" t="s">
        <v>4</v>
      </c>
      <c r="G188" s="1" t="s">
        <v>6</v>
      </c>
      <c r="H188" s="1">
        <v>8.8000000000000007</v>
      </c>
      <c r="I188" s="1">
        <v>0</v>
      </c>
      <c r="J188" s="13">
        <v>18549</v>
      </c>
      <c r="M188">
        <v>4319</v>
      </c>
      <c r="N188">
        <v>87673</v>
      </c>
    </row>
    <row r="189" spans="3:14" x14ac:dyDescent="0.25">
      <c r="C189" s="3">
        <v>184</v>
      </c>
      <c r="D189" s="1">
        <v>44</v>
      </c>
      <c r="E189" s="1" t="s">
        <v>3</v>
      </c>
      <c r="F189" s="1" t="s">
        <v>4</v>
      </c>
      <c r="G189" s="1" t="s">
        <v>5</v>
      </c>
      <c r="H189" s="1">
        <v>10.23</v>
      </c>
      <c r="I189" s="1">
        <v>2</v>
      </c>
      <c r="J189" s="13">
        <v>19329</v>
      </c>
      <c r="M189">
        <v>30835</v>
      </c>
      <c r="N189">
        <v>97618</v>
      </c>
    </row>
    <row r="190" spans="3:14" x14ac:dyDescent="0.25">
      <c r="C190" s="3">
        <v>185</v>
      </c>
      <c r="D190" s="1">
        <v>36</v>
      </c>
      <c r="E190" s="1" t="s">
        <v>3</v>
      </c>
      <c r="F190" s="1" t="s">
        <v>1</v>
      </c>
      <c r="G190" s="1" t="s">
        <v>7</v>
      </c>
      <c r="H190" s="1">
        <v>13.97</v>
      </c>
      <c r="I190" s="1">
        <v>3</v>
      </c>
      <c r="J190" s="13">
        <v>109383</v>
      </c>
      <c r="M190">
        <v>16775</v>
      </c>
      <c r="N190">
        <v>49834</v>
      </c>
    </row>
    <row r="191" spans="3:14" x14ac:dyDescent="0.25">
      <c r="C191" s="3">
        <v>186</v>
      </c>
      <c r="D191" s="1">
        <v>26</v>
      </c>
      <c r="E191" s="1" t="s">
        <v>0</v>
      </c>
      <c r="F191" s="1" t="s">
        <v>4</v>
      </c>
      <c r="G191" s="1" t="s">
        <v>5</v>
      </c>
      <c r="H191" s="1">
        <v>9.9700000000000006</v>
      </c>
      <c r="I191" s="1">
        <v>2</v>
      </c>
      <c r="J191" s="13">
        <v>9955</v>
      </c>
      <c r="M191">
        <v>4039</v>
      </c>
      <c r="N191">
        <v>118657</v>
      </c>
    </row>
    <row r="192" spans="3:14" x14ac:dyDescent="0.25">
      <c r="C192" s="3">
        <v>187</v>
      </c>
      <c r="D192" s="1">
        <v>30</v>
      </c>
      <c r="E192" s="1" t="s">
        <v>0</v>
      </c>
      <c r="F192" s="1" t="s">
        <v>4</v>
      </c>
      <c r="G192" s="1" t="s">
        <v>2</v>
      </c>
      <c r="H192" s="1">
        <v>10.3</v>
      </c>
      <c r="I192" s="1">
        <v>3</v>
      </c>
      <c r="J192" s="13">
        <v>13314</v>
      </c>
      <c r="M192">
        <v>11158</v>
      </c>
      <c r="N192">
        <v>97496</v>
      </c>
    </row>
    <row r="193" spans="3:14" x14ac:dyDescent="0.25">
      <c r="C193" s="3">
        <v>188</v>
      </c>
      <c r="D193" s="1">
        <v>41</v>
      </c>
      <c r="E193" s="1" t="s">
        <v>0</v>
      </c>
      <c r="F193" s="1" t="s">
        <v>4</v>
      </c>
      <c r="G193" s="1" t="s">
        <v>2</v>
      </c>
      <c r="H193" s="1">
        <v>10.73</v>
      </c>
      <c r="I193" s="1">
        <v>1</v>
      </c>
      <c r="J193" s="13">
        <v>16940</v>
      </c>
      <c r="M193">
        <v>17882</v>
      </c>
      <c r="N193">
        <v>50024</v>
      </c>
    </row>
    <row r="194" spans="3:14" x14ac:dyDescent="0.25">
      <c r="C194" s="3">
        <v>189</v>
      </c>
      <c r="D194" s="1">
        <v>29</v>
      </c>
      <c r="E194" s="1" t="s">
        <v>0</v>
      </c>
      <c r="F194" s="1" t="s">
        <v>4</v>
      </c>
      <c r="G194" s="1" t="s">
        <v>6</v>
      </c>
      <c r="H194" s="1">
        <v>10.7</v>
      </c>
      <c r="I194" s="1">
        <v>2</v>
      </c>
      <c r="J194" s="13">
        <v>12307</v>
      </c>
      <c r="M194">
        <v>13385</v>
      </c>
      <c r="N194">
        <v>104999</v>
      </c>
    </row>
    <row r="195" spans="3:14" x14ac:dyDescent="0.25">
      <c r="C195" s="3">
        <v>190</v>
      </c>
      <c r="D195" s="1">
        <v>61</v>
      </c>
      <c r="E195" s="1" t="s">
        <v>3</v>
      </c>
      <c r="F195" s="1" t="s">
        <v>4</v>
      </c>
      <c r="G195" s="1" t="s">
        <v>5</v>
      </c>
      <c r="H195" s="1">
        <v>10.52</v>
      </c>
      <c r="I195" s="1">
        <v>0</v>
      </c>
      <c r="J195" s="13">
        <v>31394</v>
      </c>
      <c r="M195">
        <v>87900</v>
      </c>
      <c r="N195">
        <v>102586</v>
      </c>
    </row>
    <row r="196" spans="3:14" x14ac:dyDescent="0.25">
      <c r="C196" s="3">
        <v>191</v>
      </c>
      <c r="D196" s="1">
        <v>36</v>
      </c>
      <c r="E196" s="1" t="s">
        <v>0</v>
      </c>
      <c r="F196" s="1" t="s">
        <v>4</v>
      </c>
      <c r="G196" s="1" t="s">
        <v>2</v>
      </c>
      <c r="H196" s="1">
        <v>8.73</v>
      </c>
      <c r="I196" s="1">
        <v>0</v>
      </c>
      <c r="J196" s="13">
        <v>12210</v>
      </c>
      <c r="M196">
        <v>17992</v>
      </c>
      <c r="N196">
        <v>59918</v>
      </c>
    </row>
    <row r="197" spans="3:14" x14ac:dyDescent="0.25">
      <c r="C197" s="3">
        <v>192</v>
      </c>
      <c r="D197" s="1">
        <v>25</v>
      </c>
      <c r="E197" s="1" t="s">
        <v>3</v>
      </c>
      <c r="F197" s="1" t="s">
        <v>4</v>
      </c>
      <c r="G197" s="1" t="s">
        <v>5</v>
      </c>
      <c r="H197" s="1">
        <v>8.58</v>
      </c>
      <c r="I197" s="1">
        <v>0</v>
      </c>
      <c r="J197" s="13">
        <v>5344</v>
      </c>
      <c r="M197">
        <v>61191</v>
      </c>
      <c r="N197">
        <v>40347</v>
      </c>
    </row>
    <row r="198" spans="3:14" x14ac:dyDescent="0.25">
      <c r="C198" s="3">
        <v>193</v>
      </c>
      <c r="D198" s="1">
        <v>56</v>
      </c>
      <c r="E198" s="1" t="s">
        <v>0</v>
      </c>
      <c r="F198" s="1" t="s">
        <v>4</v>
      </c>
      <c r="G198" s="1" t="s">
        <v>6</v>
      </c>
      <c r="H198" s="1">
        <v>8.8699999999999992</v>
      </c>
      <c r="I198" s="1">
        <v>1</v>
      </c>
      <c r="J198" s="13">
        <v>30111</v>
      </c>
      <c r="M198">
        <v>31622</v>
      </c>
      <c r="N198">
        <v>48000</v>
      </c>
    </row>
    <row r="199" spans="3:14" x14ac:dyDescent="0.25">
      <c r="C199" s="3">
        <v>194</v>
      </c>
      <c r="D199" s="1">
        <v>18</v>
      </c>
      <c r="E199" s="1" t="s">
        <v>3</v>
      </c>
      <c r="F199" s="1" t="s">
        <v>4</v>
      </c>
      <c r="G199" s="1" t="s">
        <v>5</v>
      </c>
      <c r="H199" s="1">
        <v>11.48</v>
      </c>
      <c r="I199" s="1">
        <v>0</v>
      </c>
      <c r="J199" s="13">
        <v>2844</v>
      </c>
      <c r="M199">
        <v>4967</v>
      </c>
      <c r="N199">
        <v>36430</v>
      </c>
    </row>
    <row r="200" spans="3:14" x14ac:dyDescent="0.25">
      <c r="C200" s="3">
        <v>195</v>
      </c>
      <c r="D200" s="1">
        <v>19</v>
      </c>
      <c r="E200" s="1" t="s">
        <v>3</v>
      </c>
      <c r="F200" s="1" t="s">
        <v>4</v>
      </c>
      <c r="G200" s="1" t="s">
        <v>6</v>
      </c>
      <c r="H200" s="1">
        <v>10.199999999999999</v>
      </c>
      <c r="I200" s="1">
        <v>0</v>
      </c>
      <c r="J200" s="13">
        <v>4099</v>
      </c>
      <c r="M200">
        <v>4580</v>
      </c>
      <c r="N200">
        <v>41051</v>
      </c>
    </row>
    <row r="201" spans="3:14" x14ac:dyDescent="0.25">
      <c r="C201" s="3">
        <v>196</v>
      </c>
      <c r="D201" s="1">
        <v>39</v>
      </c>
      <c r="E201" s="1" t="s">
        <v>0</v>
      </c>
      <c r="F201" s="1" t="s">
        <v>4</v>
      </c>
      <c r="G201" s="1" t="s">
        <v>2</v>
      </c>
      <c r="H201" s="1">
        <v>10.93</v>
      </c>
      <c r="I201" s="1">
        <v>0</v>
      </c>
      <c r="J201" s="13">
        <v>14124</v>
      </c>
      <c r="M201">
        <v>10101</v>
      </c>
      <c r="N201">
        <v>43404</v>
      </c>
    </row>
    <row r="202" spans="3:14" x14ac:dyDescent="0.25">
      <c r="C202" s="3">
        <v>197</v>
      </c>
      <c r="D202" s="1">
        <v>45</v>
      </c>
      <c r="E202" s="1" t="s">
        <v>0</v>
      </c>
      <c r="F202" s="1" t="s">
        <v>4</v>
      </c>
      <c r="G202" s="1" t="s">
        <v>5</v>
      </c>
      <c r="H202" s="1">
        <v>9.5299999999999994</v>
      </c>
      <c r="I202" s="1">
        <v>2</v>
      </c>
      <c r="J202" s="13">
        <v>21292</v>
      </c>
      <c r="M202">
        <v>10652</v>
      </c>
      <c r="N202">
        <v>86182</v>
      </c>
    </row>
    <row r="203" spans="3:14" x14ac:dyDescent="0.25">
      <c r="C203" s="3">
        <v>198</v>
      </c>
      <c r="D203" s="1">
        <v>51</v>
      </c>
      <c r="E203" s="1" t="s">
        <v>0</v>
      </c>
      <c r="F203" s="1" t="s">
        <v>4</v>
      </c>
      <c r="G203" s="1" t="s">
        <v>6</v>
      </c>
      <c r="H203" s="1">
        <v>6.02</v>
      </c>
      <c r="I203" s="1">
        <v>0</v>
      </c>
      <c r="J203" s="13">
        <v>24111</v>
      </c>
      <c r="M203">
        <v>32618</v>
      </c>
      <c r="N203">
        <v>62288</v>
      </c>
    </row>
    <row r="204" spans="3:14" x14ac:dyDescent="0.25">
      <c r="C204" s="3">
        <v>199</v>
      </c>
      <c r="D204" s="1">
        <v>64</v>
      </c>
      <c r="E204" s="1" t="s">
        <v>0</v>
      </c>
      <c r="F204" s="1" t="s">
        <v>4</v>
      </c>
      <c r="G204" s="1" t="s">
        <v>7</v>
      </c>
      <c r="H204" s="1">
        <v>13.11</v>
      </c>
      <c r="I204" s="1">
        <v>0</v>
      </c>
      <c r="J204" s="13">
        <v>37254</v>
      </c>
      <c r="M204">
        <v>13502</v>
      </c>
      <c r="N204">
        <v>46919</v>
      </c>
    </row>
    <row r="205" spans="3:14" x14ac:dyDescent="0.25">
      <c r="C205" s="3">
        <v>200</v>
      </c>
      <c r="D205" s="1">
        <v>19</v>
      </c>
      <c r="E205" s="1" t="s">
        <v>0</v>
      </c>
      <c r="F205" s="1" t="s">
        <v>4</v>
      </c>
      <c r="G205" s="1" t="s">
        <v>6</v>
      </c>
      <c r="H205" s="1">
        <v>10.7</v>
      </c>
      <c r="I205" s="1">
        <v>0</v>
      </c>
      <c r="J205" s="13">
        <v>5327</v>
      </c>
      <c r="M205">
        <v>28800</v>
      </c>
      <c r="N205">
        <v>88989</v>
      </c>
    </row>
    <row r="206" spans="3:14" x14ac:dyDescent="0.25">
      <c r="C206" s="3">
        <v>201</v>
      </c>
      <c r="D206" s="1">
        <v>48</v>
      </c>
      <c r="E206" s="1" t="s">
        <v>0</v>
      </c>
      <c r="F206" s="1" t="s">
        <v>4</v>
      </c>
      <c r="G206" s="1" t="s">
        <v>5</v>
      </c>
      <c r="H206" s="1">
        <v>10.74</v>
      </c>
      <c r="I206" s="1">
        <v>1</v>
      </c>
      <c r="J206" s="13">
        <v>22178</v>
      </c>
      <c r="M206">
        <v>29593</v>
      </c>
      <c r="N206">
        <v>105528</v>
      </c>
    </row>
    <row r="207" spans="3:14" x14ac:dyDescent="0.25">
      <c r="C207" s="3">
        <v>202</v>
      </c>
      <c r="D207" s="1">
        <v>60</v>
      </c>
      <c r="E207" s="1" t="s">
        <v>0</v>
      </c>
      <c r="F207" s="1" t="s">
        <v>4</v>
      </c>
      <c r="G207" s="1" t="s">
        <v>6</v>
      </c>
      <c r="H207" s="1">
        <v>8.01</v>
      </c>
      <c r="I207" s="1">
        <v>0</v>
      </c>
      <c r="J207" s="13">
        <v>32531</v>
      </c>
      <c r="M207">
        <v>51157</v>
      </c>
      <c r="N207">
        <v>41127</v>
      </c>
    </row>
    <row r="208" spans="3:14" x14ac:dyDescent="0.25">
      <c r="C208" s="3">
        <v>203</v>
      </c>
      <c r="D208" s="1">
        <v>27</v>
      </c>
      <c r="E208" s="1" t="s">
        <v>0</v>
      </c>
      <c r="F208" s="1" t="s">
        <v>1</v>
      </c>
      <c r="G208" s="1" t="s">
        <v>5</v>
      </c>
      <c r="H208" s="1">
        <v>12.03</v>
      </c>
      <c r="I208" s="1">
        <v>0</v>
      </c>
      <c r="J208" s="13">
        <v>92835</v>
      </c>
      <c r="M208">
        <v>36477</v>
      </c>
      <c r="N208">
        <v>54193</v>
      </c>
    </row>
    <row r="209" spans="3:14" x14ac:dyDescent="0.25">
      <c r="C209" s="3">
        <v>204</v>
      </c>
      <c r="D209" s="1">
        <v>46</v>
      </c>
      <c r="E209" s="1" t="s">
        <v>3</v>
      </c>
      <c r="F209" s="1" t="s">
        <v>4</v>
      </c>
      <c r="G209" s="1" t="s">
        <v>2</v>
      </c>
      <c r="H209" s="1">
        <v>7.43</v>
      </c>
      <c r="I209" s="1">
        <v>0</v>
      </c>
      <c r="J209" s="13">
        <v>17868</v>
      </c>
      <c r="M209">
        <v>18603</v>
      </c>
      <c r="N209">
        <v>111060</v>
      </c>
    </row>
    <row r="210" spans="3:14" x14ac:dyDescent="0.25">
      <c r="C210" s="3">
        <v>205</v>
      </c>
      <c r="D210" s="1">
        <v>28</v>
      </c>
      <c r="E210" s="1" t="s">
        <v>0</v>
      </c>
      <c r="F210" s="1" t="s">
        <v>4</v>
      </c>
      <c r="G210" s="1" t="s">
        <v>7</v>
      </c>
      <c r="H210" s="1">
        <v>9.6300000000000008</v>
      </c>
      <c r="I210" s="1">
        <v>1</v>
      </c>
      <c r="J210" s="13">
        <v>10844</v>
      </c>
      <c r="M210">
        <v>23206</v>
      </c>
      <c r="N210">
        <v>34370</v>
      </c>
    </row>
    <row r="211" spans="3:14" x14ac:dyDescent="0.25">
      <c r="C211" s="3">
        <v>206</v>
      </c>
      <c r="D211" s="1">
        <v>59</v>
      </c>
      <c r="E211" s="1" t="s">
        <v>3</v>
      </c>
      <c r="F211" s="1" t="s">
        <v>4</v>
      </c>
      <c r="G211" s="1" t="s">
        <v>5</v>
      </c>
      <c r="H211" s="1">
        <v>8.8000000000000007</v>
      </c>
      <c r="I211" s="1">
        <v>0</v>
      </c>
      <c r="J211" s="13">
        <v>29358</v>
      </c>
      <c r="M211">
        <v>4299</v>
      </c>
      <c r="N211">
        <v>93711</v>
      </c>
    </row>
    <row r="212" spans="3:14" x14ac:dyDescent="0.25">
      <c r="C212" s="3">
        <v>207</v>
      </c>
      <c r="D212" s="1">
        <v>35</v>
      </c>
      <c r="E212" s="1" t="s">
        <v>3</v>
      </c>
      <c r="F212" s="1" t="s">
        <v>1</v>
      </c>
      <c r="G212" s="1" t="s">
        <v>7</v>
      </c>
      <c r="H212" s="1">
        <v>9.25</v>
      </c>
      <c r="I212" s="1">
        <v>2</v>
      </c>
      <c r="J212" s="13">
        <v>52460</v>
      </c>
      <c r="M212">
        <v>18164</v>
      </c>
      <c r="N212">
        <v>99314</v>
      </c>
    </row>
    <row r="213" spans="3:14" x14ac:dyDescent="0.25">
      <c r="C213" s="3">
        <v>208</v>
      </c>
      <c r="D213" s="1">
        <v>63</v>
      </c>
      <c r="E213" s="1" t="s">
        <v>0</v>
      </c>
      <c r="F213" s="1" t="s">
        <v>4</v>
      </c>
      <c r="G213" s="1" t="s">
        <v>2</v>
      </c>
      <c r="H213" s="1">
        <v>10.6</v>
      </c>
      <c r="I213" s="1">
        <v>0</v>
      </c>
      <c r="J213" s="13">
        <v>34702</v>
      </c>
      <c r="M213">
        <v>24044</v>
      </c>
      <c r="N213">
        <v>50587</v>
      </c>
    </row>
    <row r="214" spans="3:14" x14ac:dyDescent="0.25">
      <c r="C214" s="3">
        <v>209</v>
      </c>
      <c r="D214" s="1">
        <v>40</v>
      </c>
      <c r="E214" s="1" t="s">
        <v>3</v>
      </c>
      <c r="F214" s="1" t="s">
        <v>4</v>
      </c>
      <c r="G214" s="1" t="s">
        <v>7</v>
      </c>
      <c r="H214" s="1">
        <v>13.74</v>
      </c>
      <c r="I214" s="1">
        <v>1</v>
      </c>
      <c r="J214" s="13">
        <v>16525</v>
      </c>
      <c r="M214">
        <v>6308</v>
      </c>
      <c r="N214">
        <v>83690</v>
      </c>
    </row>
    <row r="215" spans="3:14" x14ac:dyDescent="0.25">
      <c r="C215" s="3">
        <v>210</v>
      </c>
      <c r="D215" s="1">
        <v>20</v>
      </c>
      <c r="E215" s="1" t="s">
        <v>3</v>
      </c>
      <c r="F215" s="1" t="s">
        <v>4</v>
      </c>
      <c r="G215" s="1" t="s">
        <v>2</v>
      </c>
      <c r="H215" s="1">
        <v>11</v>
      </c>
      <c r="I215" s="1">
        <v>1</v>
      </c>
      <c r="J215" s="13">
        <v>4950</v>
      </c>
      <c r="M215">
        <v>24290</v>
      </c>
      <c r="N215">
        <v>54702</v>
      </c>
    </row>
    <row r="216" spans="3:14" x14ac:dyDescent="0.25">
      <c r="C216" s="3">
        <v>211</v>
      </c>
      <c r="D216" s="1">
        <v>40</v>
      </c>
      <c r="E216" s="1" t="s">
        <v>3</v>
      </c>
      <c r="F216" s="1" t="s">
        <v>4</v>
      </c>
      <c r="G216" s="1" t="s">
        <v>6</v>
      </c>
      <c r="H216" s="1">
        <v>10.29</v>
      </c>
      <c r="I216" s="1">
        <v>4</v>
      </c>
      <c r="J216" s="13">
        <v>20407</v>
      </c>
      <c r="M216">
        <v>7009</v>
      </c>
      <c r="N216">
        <v>111253</v>
      </c>
    </row>
    <row r="217" spans="3:14" x14ac:dyDescent="0.25">
      <c r="C217" s="3">
        <v>212</v>
      </c>
      <c r="D217" s="1">
        <v>24</v>
      </c>
      <c r="E217" s="1" t="s">
        <v>3</v>
      </c>
      <c r="F217" s="1" t="s">
        <v>4</v>
      </c>
      <c r="G217" s="1" t="s">
        <v>6</v>
      </c>
      <c r="H217" s="1">
        <v>9.5</v>
      </c>
      <c r="I217" s="1">
        <v>2</v>
      </c>
      <c r="J217" s="13">
        <v>8844</v>
      </c>
      <c r="M217">
        <v>5376</v>
      </c>
      <c r="N217">
        <v>99319</v>
      </c>
    </row>
    <row r="218" spans="3:14" x14ac:dyDescent="0.25">
      <c r="C218" s="3">
        <v>213</v>
      </c>
      <c r="D218" s="1">
        <v>34</v>
      </c>
      <c r="E218" s="1" t="s">
        <v>0</v>
      </c>
      <c r="F218" s="1" t="s">
        <v>4</v>
      </c>
      <c r="G218" s="1" t="s">
        <v>5</v>
      </c>
      <c r="H218" s="1">
        <v>8.91</v>
      </c>
      <c r="I218" s="1">
        <v>1</v>
      </c>
      <c r="J218" s="13">
        <v>12507</v>
      </c>
      <c r="M218">
        <v>32322</v>
      </c>
      <c r="N218">
        <v>63274</v>
      </c>
    </row>
    <row r="219" spans="3:14" x14ac:dyDescent="0.25">
      <c r="C219" s="3">
        <v>214</v>
      </c>
      <c r="D219" s="1">
        <v>45</v>
      </c>
      <c r="E219" s="1" t="s">
        <v>0</v>
      </c>
      <c r="F219" s="1" t="s">
        <v>4</v>
      </c>
      <c r="G219" s="1" t="s">
        <v>2</v>
      </c>
      <c r="H219" s="1">
        <v>10.3</v>
      </c>
      <c r="I219" s="1">
        <v>2</v>
      </c>
      <c r="J219" s="13">
        <v>21300</v>
      </c>
      <c r="M219">
        <v>24638</v>
      </c>
      <c r="N219">
        <v>122426</v>
      </c>
    </row>
    <row r="220" spans="3:14" x14ac:dyDescent="0.25">
      <c r="C220" s="3">
        <v>215</v>
      </c>
      <c r="D220" s="1">
        <v>41</v>
      </c>
      <c r="E220" s="1" t="s">
        <v>0</v>
      </c>
      <c r="F220" s="1" t="s">
        <v>4</v>
      </c>
      <c r="G220" s="1" t="s">
        <v>2</v>
      </c>
      <c r="H220" s="1">
        <v>12.37</v>
      </c>
      <c r="I220" s="1">
        <v>2</v>
      </c>
      <c r="J220" s="13">
        <v>18429</v>
      </c>
      <c r="M220">
        <v>10593</v>
      </c>
      <c r="N220">
        <v>99679</v>
      </c>
    </row>
    <row r="221" spans="3:14" x14ac:dyDescent="0.25">
      <c r="C221" s="3">
        <v>216</v>
      </c>
      <c r="D221" s="1">
        <v>53</v>
      </c>
      <c r="E221" s="1" t="s">
        <v>0</v>
      </c>
      <c r="F221" s="1" t="s">
        <v>4</v>
      </c>
      <c r="G221" s="1" t="s">
        <v>6</v>
      </c>
      <c r="H221" s="1">
        <v>8.8699999999999992</v>
      </c>
      <c r="I221" s="1">
        <v>0</v>
      </c>
      <c r="J221" s="13">
        <v>25889</v>
      </c>
      <c r="M221">
        <v>29698</v>
      </c>
      <c r="N221">
        <v>86680</v>
      </c>
    </row>
    <row r="222" spans="3:14" x14ac:dyDescent="0.25">
      <c r="C222" s="3">
        <v>217</v>
      </c>
      <c r="D222" s="1">
        <v>27</v>
      </c>
      <c r="E222" s="1" t="s">
        <v>3</v>
      </c>
      <c r="F222" s="1" t="s">
        <v>4</v>
      </c>
      <c r="G222" s="1" t="s">
        <v>5</v>
      </c>
      <c r="H222" s="1">
        <v>7.7</v>
      </c>
      <c r="I222" s="1">
        <v>0</v>
      </c>
      <c r="J222" s="13">
        <v>6209</v>
      </c>
      <c r="M222">
        <v>24065</v>
      </c>
      <c r="N222">
        <v>47558</v>
      </c>
    </row>
    <row r="223" spans="3:14" x14ac:dyDescent="0.25">
      <c r="C223" s="3">
        <v>218</v>
      </c>
      <c r="D223" s="1">
        <v>26</v>
      </c>
      <c r="E223" s="1" t="s">
        <v>0</v>
      </c>
      <c r="F223" s="1" t="s">
        <v>4</v>
      </c>
      <c r="G223" s="1" t="s">
        <v>5</v>
      </c>
      <c r="H223" s="1">
        <v>9.9700000000000006</v>
      </c>
      <c r="I223" s="1">
        <v>1</v>
      </c>
      <c r="J223" s="13">
        <v>8482</v>
      </c>
      <c r="M223">
        <v>19355</v>
      </c>
      <c r="N223">
        <v>104190</v>
      </c>
    </row>
    <row r="224" spans="3:14" x14ac:dyDescent="0.25">
      <c r="C224" s="3">
        <v>219</v>
      </c>
      <c r="D224" s="1">
        <v>24</v>
      </c>
      <c r="E224" s="1" t="s">
        <v>0</v>
      </c>
      <c r="F224" s="1" t="s">
        <v>4</v>
      </c>
      <c r="G224" s="1" t="s">
        <v>5</v>
      </c>
      <c r="H224" s="1">
        <v>7.74</v>
      </c>
      <c r="I224" s="1">
        <v>0</v>
      </c>
      <c r="J224" s="13">
        <v>62704</v>
      </c>
      <c r="M224">
        <v>23582</v>
      </c>
      <c r="N224">
        <v>84769</v>
      </c>
    </row>
    <row r="225" spans="3:14" x14ac:dyDescent="0.25">
      <c r="C225" s="3">
        <v>220</v>
      </c>
      <c r="D225" s="1">
        <v>34</v>
      </c>
      <c r="E225" s="1" t="s">
        <v>0</v>
      </c>
      <c r="F225" s="1" t="s">
        <v>4</v>
      </c>
      <c r="G225" s="1" t="s">
        <v>2</v>
      </c>
      <c r="H225" s="1">
        <v>11.23</v>
      </c>
      <c r="I225" s="1">
        <v>1</v>
      </c>
      <c r="J225" s="13">
        <v>12531</v>
      </c>
      <c r="M225">
        <v>35640</v>
      </c>
      <c r="N225">
        <v>111603</v>
      </c>
    </row>
    <row r="226" spans="3:14" x14ac:dyDescent="0.25">
      <c r="C226" s="3">
        <v>221</v>
      </c>
      <c r="D226" s="1">
        <v>53</v>
      </c>
      <c r="E226" s="1" t="s">
        <v>0</v>
      </c>
      <c r="F226" s="1" t="s">
        <v>4</v>
      </c>
      <c r="G226" s="1" t="s">
        <v>7</v>
      </c>
      <c r="H226" s="1">
        <v>11.08</v>
      </c>
      <c r="I226" s="1">
        <v>0</v>
      </c>
      <c r="J226" s="13">
        <v>26412</v>
      </c>
      <c r="M226">
        <v>64982</v>
      </c>
      <c r="N226">
        <v>41941</v>
      </c>
    </row>
    <row r="227" spans="3:14" x14ac:dyDescent="0.25">
      <c r="C227" s="3">
        <v>222</v>
      </c>
      <c r="D227" s="1">
        <v>32</v>
      </c>
      <c r="E227" s="1" t="s">
        <v>3</v>
      </c>
      <c r="F227" s="1" t="s">
        <v>4</v>
      </c>
      <c r="G227" s="1" t="s">
        <v>2</v>
      </c>
      <c r="H227" s="1">
        <v>10.27</v>
      </c>
      <c r="I227" s="1">
        <v>3</v>
      </c>
      <c r="J227" s="13">
        <v>13134</v>
      </c>
      <c r="M227">
        <v>7930</v>
      </c>
      <c r="N227">
        <v>104873</v>
      </c>
    </row>
    <row r="228" spans="3:14" x14ac:dyDescent="0.25">
      <c r="C228" s="3">
        <v>223</v>
      </c>
      <c r="D228" s="1">
        <v>19</v>
      </c>
      <c r="E228" s="1" t="s">
        <v>3</v>
      </c>
      <c r="F228" s="1" t="s">
        <v>1</v>
      </c>
      <c r="G228" s="1" t="s">
        <v>2</v>
      </c>
      <c r="H228" s="1">
        <v>11.6</v>
      </c>
      <c r="I228" s="1">
        <v>0</v>
      </c>
      <c r="J228" s="13">
        <v>86949</v>
      </c>
      <c r="M228">
        <v>50695</v>
      </c>
      <c r="N228">
        <v>60452</v>
      </c>
    </row>
    <row r="229" spans="3:14" x14ac:dyDescent="0.25">
      <c r="C229" s="3">
        <v>224</v>
      </c>
      <c r="D229" s="1">
        <v>42</v>
      </c>
      <c r="E229" s="1" t="s">
        <v>3</v>
      </c>
      <c r="F229" s="1" t="s">
        <v>1</v>
      </c>
      <c r="G229" s="1" t="s">
        <v>5</v>
      </c>
      <c r="H229" s="1">
        <v>8.2100000000000009</v>
      </c>
      <c r="I229" s="1">
        <v>0</v>
      </c>
      <c r="J229" s="13">
        <v>48789</v>
      </c>
      <c r="M229">
        <v>5392</v>
      </c>
      <c r="N229">
        <v>90311</v>
      </c>
    </row>
    <row r="230" spans="3:14" x14ac:dyDescent="0.25">
      <c r="C230" s="3">
        <v>225</v>
      </c>
      <c r="D230" s="1">
        <v>55</v>
      </c>
      <c r="E230" s="1" t="s">
        <v>3</v>
      </c>
      <c r="F230" s="1" t="s">
        <v>4</v>
      </c>
      <c r="G230" s="1" t="s">
        <v>5</v>
      </c>
      <c r="H230" s="1">
        <v>11.29</v>
      </c>
      <c r="I230" s="1">
        <v>3</v>
      </c>
      <c r="J230" s="13">
        <v>29968</v>
      </c>
      <c r="M230">
        <v>9765</v>
      </c>
      <c r="N230">
        <v>95707</v>
      </c>
    </row>
    <row r="231" spans="3:14" x14ac:dyDescent="0.25">
      <c r="C231" s="3">
        <v>226</v>
      </c>
      <c r="D231" s="1">
        <v>28</v>
      </c>
      <c r="E231" s="1" t="s">
        <v>3</v>
      </c>
      <c r="F231" s="1" t="s">
        <v>4</v>
      </c>
      <c r="G231" s="1" t="s">
        <v>5</v>
      </c>
      <c r="H231" s="1">
        <v>12.69</v>
      </c>
      <c r="I231" s="1">
        <v>0</v>
      </c>
      <c r="J231" s="13">
        <v>6724</v>
      </c>
      <c r="M231">
        <v>4261</v>
      </c>
      <c r="N231">
        <v>85416</v>
      </c>
    </row>
    <row r="232" spans="3:14" x14ac:dyDescent="0.25">
      <c r="C232" s="3">
        <v>227</v>
      </c>
      <c r="D232" s="1">
        <v>58</v>
      </c>
      <c r="E232" s="1" t="s">
        <v>0</v>
      </c>
      <c r="F232" s="1" t="s">
        <v>4</v>
      </c>
      <c r="G232" s="1" t="s">
        <v>5</v>
      </c>
      <c r="H232" s="1">
        <v>13.97</v>
      </c>
      <c r="I232" s="1">
        <v>0</v>
      </c>
      <c r="J232" s="13">
        <v>60568</v>
      </c>
      <c r="M232">
        <v>23124</v>
      </c>
      <c r="N232">
        <v>116654</v>
      </c>
    </row>
    <row r="233" spans="3:14" x14ac:dyDescent="0.25">
      <c r="C233" s="3">
        <v>228</v>
      </c>
      <c r="D233" s="1">
        <v>41</v>
      </c>
      <c r="E233" s="1" t="s">
        <v>0</v>
      </c>
      <c r="F233" s="1" t="s">
        <v>4</v>
      </c>
      <c r="G233" s="1" t="s">
        <v>7</v>
      </c>
      <c r="H233" s="1">
        <v>10.54</v>
      </c>
      <c r="I233" s="1">
        <v>1</v>
      </c>
      <c r="J233" s="13">
        <v>18395</v>
      </c>
      <c r="M233">
        <v>16867</v>
      </c>
      <c r="N233">
        <v>102260</v>
      </c>
    </row>
    <row r="234" spans="3:14" x14ac:dyDescent="0.25">
      <c r="C234" s="3">
        <v>229</v>
      </c>
      <c r="D234" s="1">
        <v>47</v>
      </c>
      <c r="E234" s="1" t="s">
        <v>3</v>
      </c>
      <c r="F234" s="1" t="s">
        <v>4</v>
      </c>
      <c r="G234" s="1" t="s">
        <v>7</v>
      </c>
      <c r="H234" s="1">
        <v>8.49</v>
      </c>
      <c r="I234" s="1">
        <v>2</v>
      </c>
      <c r="J234" s="13">
        <v>23063</v>
      </c>
      <c r="M234">
        <v>30664</v>
      </c>
      <c r="N234">
        <v>92247</v>
      </c>
    </row>
    <row r="235" spans="3:14" x14ac:dyDescent="0.25">
      <c r="C235" s="3">
        <v>230</v>
      </c>
      <c r="D235" s="1">
        <v>42</v>
      </c>
      <c r="E235" s="1" t="s">
        <v>0</v>
      </c>
      <c r="F235" s="1" t="s">
        <v>4</v>
      </c>
      <c r="G235" s="1" t="s">
        <v>6</v>
      </c>
      <c r="H235" s="1">
        <v>12.06</v>
      </c>
      <c r="I235" s="1">
        <v>1</v>
      </c>
      <c r="J235" s="13">
        <v>18609</v>
      </c>
      <c r="M235">
        <v>10874</v>
      </c>
      <c r="N235">
        <v>131477</v>
      </c>
    </row>
    <row r="236" spans="3:14" x14ac:dyDescent="0.25">
      <c r="C236" s="3">
        <v>231</v>
      </c>
      <c r="D236" s="1">
        <v>59</v>
      </c>
      <c r="E236" s="1" t="s">
        <v>0</v>
      </c>
      <c r="F236" s="1" t="s">
        <v>4</v>
      </c>
      <c r="G236" s="1" t="s">
        <v>5</v>
      </c>
      <c r="H236" s="1">
        <v>9.2799999999999994</v>
      </c>
      <c r="I236" s="1">
        <v>3</v>
      </c>
      <c r="J236" s="13">
        <v>35003</v>
      </c>
      <c r="M236">
        <v>31616</v>
      </c>
      <c r="N236">
        <v>102353</v>
      </c>
    </row>
    <row r="237" spans="3:14" x14ac:dyDescent="0.25">
      <c r="C237" s="3">
        <v>232</v>
      </c>
      <c r="D237" s="1">
        <v>19</v>
      </c>
      <c r="E237" s="1" t="s">
        <v>0</v>
      </c>
      <c r="F237" s="1" t="s">
        <v>4</v>
      </c>
      <c r="G237" s="1" t="s">
        <v>2</v>
      </c>
      <c r="H237" s="1">
        <v>5.93</v>
      </c>
      <c r="I237" s="1">
        <v>0</v>
      </c>
      <c r="J237" s="13">
        <v>4319</v>
      </c>
      <c r="M237">
        <v>48606</v>
      </c>
      <c r="N237">
        <v>99307</v>
      </c>
    </row>
    <row r="238" spans="3:14" x14ac:dyDescent="0.25">
      <c r="C238" s="3">
        <v>233</v>
      </c>
      <c r="D238" s="1">
        <v>59</v>
      </c>
      <c r="E238" s="1" t="s">
        <v>3</v>
      </c>
      <c r="F238" s="1" t="s">
        <v>4</v>
      </c>
      <c r="G238" s="1" t="s">
        <v>2</v>
      </c>
      <c r="H238" s="1">
        <v>9.17</v>
      </c>
      <c r="I238" s="1">
        <v>1</v>
      </c>
      <c r="J238" s="13">
        <v>30835</v>
      </c>
      <c r="M238">
        <v>50444</v>
      </c>
      <c r="N238">
        <v>42947</v>
      </c>
    </row>
    <row r="239" spans="3:14" x14ac:dyDescent="0.25">
      <c r="C239" s="3">
        <v>234</v>
      </c>
      <c r="D239" s="1">
        <v>39</v>
      </c>
      <c r="E239" s="1" t="s">
        <v>3</v>
      </c>
      <c r="F239" s="1" t="s">
        <v>4</v>
      </c>
      <c r="G239" s="1" t="s">
        <v>6</v>
      </c>
      <c r="H239" s="1">
        <v>8.17</v>
      </c>
      <c r="I239" s="1">
        <v>2</v>
      </c>
      <c r="J239" s="13">
        <v>16775</v>
      </c>
      <c r="M239">
        <v>10378</v>
      </c>
      <c r="N239">
        <v>56196</v>
      </c>
    </row>
    <row r="240" spans="3:14" x14ac:dyDescent="0.25">
      <c r="C240" s="3">
        <v>235</v>
      </c>
      <c r="D240" s="1">
        <v>40</v>
      </c>
      <c r="E240" s="1" t="s">
        <v>0</v>
      </c>
      <c r="F240" s="1" t="s">
        <v>1</v>
      </c>
      <c r="G240" s="1" t="s">
        <v>5</v>
      </c>
      <c r="H240" s="1">
        <v>7.41</v>
      </c>
      <c r="I240" s="1">
        <v>2</v>
      </c>
      <c r="J240" s="13">
        <v>48611</v>
      </c>
      <c r="M240">
        <v>29861</v>
      </c>
      <c r="N240">
        <v>59719</v>
      </c>
    </row>
    <row r="241" spans="3:14" x14ac:dyDescent="0.25">
      <c r="C241" s="3">
        <v>236</v>
      </c>
      <c r="D241" s="1">
        <v>18</v>
      </c>
      <c r="E241" s="1" t="s">
        <v>0</v>
      </c>
      <c r="F241" s="1" t="s">
        <v>4</v>
      </c>
      <c r="G241" s="1" t="s">
        <v>5</v>
      </c>
      <c r="H241" s="1">
        <v>8.91</v>
      </c>
      <c r="I241" s="1">
        <v>0</v>
      </c>
      <c r="J241" s="13">
        <v>4039</v>
      </c>
      <c r="M241">
        <v>19373</v>
      </c>
      <c r="N241">
        <v>48376</v>
      </c>
    </row>
    <row r="242" spans="3:14" x14ac:dyDescent="0.25">
      <c r="C242" s="3">
        <v>237</v>
      </c>
      <c r="D242" s="1">
        <v>31</v>
      </c>
      <c r="E242" s="1" t="s">
        <v>3</v>
      </c>
      <c r="F242" s="1" t="s">
        <v>4</v>
      </c>
      <c r="G242" s="1" t="s">
        <v>5</v>
      </c>
      <c r="H242" s="1">
        <v>12.8</v>
      </c>
      <c r="I242" s="1">
        <v>2</v>
      </c>
      <c r="J242" s="13">
        <v>11158</v>
      </c>
      <c r="M242">
        <v>21111</v>
      </c>
      <c r="N242">
        <v>45821</v>
      </c>
    </row>
    <row r="243" spans="3:14" x14ac:dyDescent="0.25">
      <c r="C243" s="3">
        <v>238</v>
      </c>
      <c r="D243" s="1">
        <v>19</v>
      </c>
      <c r="E243" s="1" t="s">
        <v>3</v>
      </c>
      <c r="F243" s="1" t="s">
        <v>1</v>
      </c>
      <c r="G243" s="1" t="s">
        <v>6</v>
      </c>
      <c r="H243" s="1">
        <v>9.69</v>
      </c>
      <c r="I243" s="1">
        <v>0</v>
      </c>
      <c r="J243" s="13">
        <v>43382</v>
      </c>
      <c r="M243">
        <v>4343</v>
      </c>
      <c r="N243">
        <v>93663</v>
      </c>
    </row>
    <row r="244" spans="3:14" x14ac:dyDescent="0.25">
      <c r="C244" s="3">
        <v>239</v>
      </c>
      <c r="D244" s="1">
        <v>44</v>
      </c>
      <c r="E244" s="1" t="s">
        <v>3</v>
      </c>
      <c r="F244" s="1" t="s">
        <v>4</v>
      </c>
      <c r="G244" s="1" t="s">
        <v>5</v>
      </c>
      <c r="H244" s="1">
        <v>12.69</v>
      </c>
      <c r="I244" s="1">
        <v>1</v>
      </c>
      <c r="J244" s="13">
        <v>17882</v>
      </c>
      <c r="M244">
        <v>20311</v>
      </c>
      <c r="N244">
        <v>54428</v>
      </c>
    </row>
    <row r="245" spans="3:14" x14ac:dyDescent="0.25">
      <c r="C245" s="3">
        <v>240</v>
      </c>
      <c r="D245" s="1">
        <v>23</v>
      </c>
      <c r="E245" s="1" t="s">
        <v>0</v>
      </c>
      <c r="F245" s="1" t="s">
        <v>1</v>
      </c>
      <c r="G245" s="1" t="s">
        <v>7</v>
      </c>
      <c r="H245" s="1">
        <v>12.22</v>
      </c>
      <c r="I245" s="1">
        <v>2</v>
      </c>
      <c r="J245" s="13">
        <v>96279</v>
      </c>
      <c r="M245">
        <v>24307</v>
      </c>
      <c r="N245">
        <v>83269</v>
      </c>
    </row>
    <row r="246" spans="3:14" x14ac:dyDescent="0.25">
      <c r="C246" s="3">
        <v>241</v>
      </c>
      <c r="D246" s="1">
        <v>33</v>
      </c>
      <c r="E246" s="1" t="s">
        <v>0</v>
      </c>
      <c r="F246" s="1" t="s">
        <v>4</v>
      </c>
      <c r="G246" s="1" t="s">
        <v>7</v>
      </c>
      <c r="H246" s="1">
        <v>7.38</v>
      </c>
      <c r="I246" s="1">
        <v>1</v>
      </c>
      <c r="J246" s="13">
        <v>13385</v>
      </c>
      <c r="M246">
        <v>22088</v>
      </c>
      <c r="N246">
        <v>45559</v>
      </c>
    </row>
    <row r="247" spans="3:14" x14ac:dyDescent="0.25">
      <c r="C247" s="3">
        <v>242</v>
      </c>
      <c r="D247" s="1">
        <v>55</v>
      </c>
      <c r="E247" s="1" t="s">
        <v>0</v>
      </c>
      <c r="F247" s="1" t="s">
        <v>4</v>
      </c>
      <c r="G247" s="1" t="s">
        <v>2</v>
      </c>
      <c r="H247" s="1">
        <v>8.93</v>
      </c>
      <c r="I247" s="1">
        <v>1</v>
      </c>
      <c r="J247" s="13">
        <v>87900</v>
      </c>
      <c r="M247">
        <v>26088</v>
      </c>
      <c r="N247">
        <v>96039</v>
      </c>
    </row>
    <row r="248" spans="3:14" x14ac:dyDescent="0.25">
      <c r="C248" s="3">
        <v>243</v>
      </c>
      <c r="D248" s="1">
        <v>40</v>
      </c>
      <c r="E248" s="1" t="s">
        <v>3</v>
      </c>
      <c r="F248" s="1" t="s">
        <v>4</v>
      </c>
      <c r="G248" s="1" t="s">
        <v>2</v>
      </c>
      <c r="H248" s="1">
        <v>11.77</v>
      </c>
      <c r="I248" s="1">
        <v>3</v>
      </c>
      <c r="J248" s="13">
        <v>17992</v>
      </c>
      <c r="M248">
        <v>18553</v>
      </c>
      <c r="N248">
        <v>50742</v>
      </c>
    </row>
    <row r="249" spans="3:14" x14ac:dyDescent="0.25">
      <c r="C249" s="3">
        <v>244</v>
      </c>
      <c r="D249" s="1">
        <v>63</v>
      </c>
      <c r="E249" s="1" t="s">
        <v>0</v>
      </c>
      <c r="F249" s="1" t="s">
        <v>1</v>
      </c>
      <c r="G249" s="1" t="s">
        <v>7</v>
      </c>
      <c r="H249" s="1">
        <v>9.25</v>
      </c>
      <c r="I249" s="1">
        <v>0</v>
      </c>
      <c r="J249" s="13">
        <v>73808</v>
      </c>
      <c r="M249">
        <v>11669</v>
      </c>
      <c r="N249">
        <v>104154</v>
      </c>
    </row>
    <row r="250" spans="3:14" x14ac:dyDescent="0.25">
      <c r="C250" s="3">
        <v>245</v>
      </c>
      <c r="D250" s="1">
        <v>54</v>
      </c>
      <c r="E250" s="1" t="s">
        <v>3</v>
      </c>
      <c r="F250" s="1" t="s">
        <v>4</v>
      </c>
      <c r="G250" s="1" t="s">
        <v>6</v>
      </c>
      <c r="H250" s="1">
        <v>10.01</v>
      </c>
      <c r="I250" s="1">
        <v>0</v>
      </c>
      <c r="J250" s="13">
        <v>61191</v>
      </c>
      <c r="M250">
        <v>12237</v>
      </c>
      <c r="N250">
        <v>65314</v>
      </c>
    </row>
    <row r="251" spans="3:14" x14ac:dyDescent="0.25">
      <c r="C251" s="3">
        <v>246</v>
      </c>
      <c r="D251" s="1">
        <v>60</v>
      </c>
      <c r="E251" s="1" t="s">
        <v>0</v>
      </c>
      <c r="F251" s="1" t="s">
        <v>4</v>
      </c>
      <c r="G251" s="1" t="s">
        <v>5</v>
      </c>
      <c r="H251" s="1">
        <v>12.69</v>
      </c>
      <c r="I251" s="1">
        <v>0</v>
      </c>
      <c r="J251" s="13">
        <v>31622</v>
      </c>
      <c r="M251">
        <v>61679</v>
      </c>
      <c r="N251">
        <v>150053</v>
      </c>
    </row>
    <row r="252" spans="3:14" x14ac:dyDescent="0.25">
      <c r="C252" s="3">
        <v>247</v>
      </c>
      <c r="D252" s="1">
        <v>24</v>
      </c>
      <c r="E252" s="1" t="s">
        <v>3</v>
      </c>
      <c r="F252" s="1" t="s">
        <v>4</v>
      </c>
      <c r="G252" s="1" t="s">
        <v>5</v>
      </c>
      <c r="H252" s="1">
        <v>11.95</v>
      </c>
      <c r="I252" s="1">
        <v>0</v>
      </c>
      <c r="J252" s="13">
        <v>4967</v>
      </c>
      <c r="M252">
        <v>28916</v>
      </c>
      <c r="N252">
        <v>50418</v>
      </c>
    </row>
    <row r="253" spans="3:14" x14ac:dyDescent="0.25">
      <c r="C253" s="3">
        <v>248</v>
      </c>
      <c r="D253" s="1">
        <v>19</v>
      </c>
      <c r="E253" s="1" t="s">
        <v>3</v>
      </c>
      <c r="F253" s="1" t="s">
        <v>4</v>
      </c>
      <c r="G253" s="1" t="s">
        <v>2</v>
      </c>
      <c r="H253" s="1">
        <v>6.97</v>
      </c>
      <c r="I253" s="1">
        <v>1</v>
      </c>
      <c r="J253" s="13">
        <v>4580</v>
      </c>
      <c r="M253">
        <v>7165</v>
      </c>
      <c r="N253">
        <v>118175</v>
      </c>
    </row>
    <row r="254" spans="3:14" x14ac:dyDescent="0.25">
      <c r="C254" s="3">
        <v>249</v>
      </c>
      <c r="D254" s="1">
        <v>29</v>
      </c>
      <c r="E254" s="1" t="s">
        <v>3</v>
      </c>
      <c r="F254" s="1" t="s">
        <v>4</v>
      </c>
      <c r="G254" s="1" t="s">
        <v>7</v>
      </c>
      <c r="H254" s="1">
        <v>9.66</v>
      </c>
      <c r="I254" s="1">
        <v>1</v>
      </c>
      <c r="J254" s="13">
        <v>10101</v>
      </c>
      <c r="M254">
        <v>16501</v>
      </c>
      <c r="N254">
        <v>123944</v>
      </c>
    </row>
    <row r="255" spans="3:14" x14ac:dyDescent="0.25">
      <c r="C255" s="3">
        <v>250</v>
      </c>
      <c r="D255" s="1">
        <v>18</v>
      </c>
      <c r="E255" s="1" t="s">
        <v>3</v>
      </c>
      <c r="F255" s="1" t="s">
        <v>1</v>
      </c>
      <c r="G255" s="1" t="s">
        <v>7</v>
      </c>
      <c r="H255" s="1">
        <v>5.76</v>
      </c>
      <c r="I255" s="1">
        <v>2</v>
      </c>
      <c r="J255" s="13">
        <v>32074</v>
      </c>
      <c r="M255">
        <v>8905</v>
      </c>
      <c r="N255">
        <v>94019</v>
      </c>
    </row>
    <row r="256" spans="3:14" x14ac:dyDescent="0.25">
      <c r="C256" s="3">
        <v>251</v>
      </c>
      <c r="D256" s="1">
        <v>63</v>
      </c>
      <c r="E256" s="1" t="s">
        <v>0</v>
      </c>
      <c r="F256" s="1" t="s">
        <v>1</v>
      </c>
      <c r="G256" s="1" t="s">
        <v>2</v>
      </c>
      <c r="H256" s="1">
        <v>10.73</v>
      </c>
      <c r="I256" s="1">
        <v>2</v>
      </c>
      <c r="J256" s="13">
        <v>118263</v>
      </c>
      <c r="M256">
        <v>22861</v>
      </c>
      <c r="N256">
        <v>46621</v>
      </c>
    </row>
    <row r="257" spans="3:14" x14ac:dyDescent="0.25">
      <c r="C257" s="3">
        <v>252</v>
      </c>
      <c r="D257" s="1">
        <v>54</v>
      </c>
      <c r="E257" s="1" t="s">
        <v>3</v>
      </c>
      <c r="F257" s="1" t="s">
        <v>1</v>
      </c>
      <c r="G257" s="1" t="s">
        <v>5</v>
      </c>
      <c r="H257" s="1">
        <v>11.4</v>
      </c>
      <c r="I257" s="1">
        <v>2</v>
      </c>
      <c r="J257" s="13">
        <v>110652</v>
      </c>
      <c r="M257">
        <v>33573</v>
      </c>
      <c r="N257">
        <v>40582</v>
      </c>
    </row>
    <row r="258" spans="3:14" x14ac:dyDescent="0.25">
      <c r="C258" s="3">
        <v>253</v>
      </c>
      <c r="D258" s="1">
        <v>27</v>
      </c>
      <c r="E258" s="1" t="s">
        <v>3</v>
      </c>
      <c r="F258" s="1" t="s">
        <v>4</v>
      </c>
      <c r="G258" s="1" t="s">
        <v>2</v>
      </c>
      <c r="H258" s="1">
        <v>10.1</v>
      </c>
      <c r="I258" s="1">
        <v>3</v>
      </c>
      <c r="J258" s="13">
        <v>10652</v>
      </c>
      <c r="M258">
        <v>29146</v>
      </c>
      <c r="N258">
        <v>67316</v>
      </c>
    </row>
    <row r="259" spans="3:14" x14ac:dyDescent="0.25">
      <c r="C259" s="3">
        <v>254</v>
      </c>
      <c r="D259" s="1">
        <v>50</v>
      </c>
      <c r="E259" s="1" t="s">
        <v>3</v>
      </c>
      <c r="F259" s="1" t="s">
        <v>1</v>
      </c>
      <c r="G259" s="1" t="s">
        <v>7</v>
      </c>
      <c r="H259" s="1">
        <v>10.61</v>
      </c>
      <c r="I259" s="1">
        <v>0</v>
      </c>
      <c r="J259" s="13">
        <v>102743</v>
      </c>
      <c r="M259">
        <v>47861</v>
      </c>
      <c r="N259">
        <v>85635</v>
      </c>
    </row>
    <row r="260" spans="3:14" x14ac:dyDescent="0.25">
      <c r="C260" s="3">
        <v>255</v>
      </c>
      <c r="D260" s="1">
        <v>55</v>
      </c>
      <c r="E260" s="1" t="s">
        <v>0</v>
      </c>
      <c r="F260" s="1" t="s">
        <v>4</v>
      </c>
      <c r="G260" s="1" t="s">
        <v>7</v>
      </c>
      <c r="H260" s="1">
        <v>8.4600000000000009</v>
      </c>
      <c r="I260" s="1">
        <v>3</v>
      </c>
      <c r="J260" s="13">
        <v>32618</v>
      </c>
      <c r="M260">
        <v>34557</v>
      </c>
      <c r="N260">
        <v>42608</v>
      </c>
    </row>
    <row r="261" spans="3:14" x14ac:dyDescent="0.25">
      <c r="C261" s="3">
        <v>256</v>
      </c>
      <c r="D261" s="1">
        <v>56</v>
      </c>
      <c r="E261" s="1" t="s">
        <v>3</v>
      </c>
      <c r="F261" s="1" t="s">
        <v>1</v>
      </c>
      <c r="G261" s="1" t="s">
        <v>6</v>
      </c>
      <c r="H261" s="1">
        <v>11.21</v>
      </c>
      <c r="I261" s="1">
        <v>0</v>
      </c>
      <c r="J261" s="13">
        <v>109803</v>
      </c>
      <c r="M261">
        <v>30356</v>
      </c>
      <c r="N261">
        <v>56155</v>
      </c>
    </row>
    <row r="262" spans="3:14" x14ac:dyDescent="0.25">
      <c r="C262" s="3">
        <v>257</v>
      </c>
      <c r="D262" s="1">
        <v>38</v>
      </c>
      <c r="E262" s="1" t="s">
        <v>0</v>
      </c>
      <c r="F262" s="1" t="s">
        <v>4</v>
      </c>
      <c r="G262" s="1" t="s">
        <v>5</v>
      </c>
      <c r="H262" s="1">
        <v>13.38</v>
      </c>
      <c r="I262" s="1">
        <v>0</v>
      </c>
      <c r="J262" s="13">
        <v>13502</v>
      </c>
      <c r="M262">
        <v>34844</v>
      </c>
      <c r="N262">
        <v>61339</v>
      </c>
    </row>
    <row r="263" spans="3:14" x14ac:dyDescent="0.25">
      <c r="C263" s="3">
        <v>258</v>
      </c>
      <c r="D263" s="1">
        <v>51</v>
      </c>
      <c r="E263" s="1" t="s">
        <v>3</v>
      </c>
      <c r="F263" s="1" t="s">
        <v>4</v>
      </c>
      <c r="G263" s="1" t="s">
        <v>6</v>
      </c>
      <c r="H263" s="1">
        <v>8.14</v>
      </c>
      <c r="I263" s="1">
        <v>4</v>
      </c>
      <c r="J263" s="13">
        <v>28800</v>
      </c>
      <c r="M263">
        <v>20582</v>
      </c>
      <c r="N263">
        <v>35709</v>
      </c>
    </row>
    <row r="264" spans="3:14" x14ac:dyDescent="0.25">
      <c r="C264" s="3">
        <v>259</v>
      </c>
      <c r="D264" s="1">
        <v>19</v>
      </c>
      <c r="E264" s="1" t="s">
        <v>3</v>
      </c>
      <c r="F264" s="1" t="s">
        <v>1</v>
      </c>
      <c r="G264" s="1" t="s">
        <v>6</v>
      </c>
      <c r="H264" s="1">
        <v>10.64</v>
      </c>
      <c r="I264" s="1">
        <v>0</v>
      </c>
      <c r="J264" s="13">
        <v>84376</v>
      </c>
      <c r="M264">
        <v>47388</v>
      </c>
      <c r="N264">
        <v>118510</v>
      </c>
    </row>
    <row r="265" spans="3:14" x14ac:dyDescent="0.25">
      <c r="C265" s="3">
        <v>260</v>
      </c>
      <c r="D265" s="1">
        <v>58</v>
      </c>
      <c r="E265" s="1" t="s">
        <v>0</v>
      </c>
      <c r="F265" s="1" t="s">
        <v>4</v>
      </c>
      <c r="G265" s="1" t="s">
        <v>2</v>
      </c>
      <c r="H265" s="1">
        <v>8.4</v>
      </c>
      <c r="I265" s="1">
        <v>0</v>
      </c>
      <c r="J265" s="13">
        <v>29593</v>
      </c>
      <c r="M265">
        <v>33380</v>
      </c>
      <c r="N265">
        <v>95861</v>
      </c>
    </row>
    <row r="266" spans="3:14" x14ac:dyDescent="0.25">
      <c r="C266" s="3">
        <v>261</v>
      </c>
      <c r="D266" s="1">
        <v>20</v>
      </c>
      <c r="E266" s="1" t="s">
        <v>0</v>
      </c>
      <c r="F266" s="1" t="s">
        <v>1</v>
      </c>
      <c r="G266" s="1" t="s">
        <v>5</v>
      </c>
      <c r="H266" s="1">
        <v>8.9499999999999993</v>
      </c>
      <c r="I266" s="1">
        <v>1</v>
      </c>
      <c r="J266" s="13">
        <v>42713</v>
      </c>
      <c r="M266">
        <v>33043</v>
      </c>
      <c r="N266">
        <v>87072</v>
      </c>
    </row>
    <row r="267" spans="3:14" x14ac:dyDescent="0.25">
      <c r="C267" s="3">
        <v>262</v>
      </c>
      <c r="D267" s="1">
        <v>52</v>
      </c>
      <c r="E267" s="1" t="s">
        <v>3</v>
      </c>
      <c r="F267" s="1" t="s">
        <v>1</v>
      </c>
      <c r="G267" s="1" t="s">
        <v>7</v>
      </c>
      <c r="H267" s="1">
        <v>8.11</v>
      </c>
      <c r="I267" s="1">
        <v>3</v>
      </c>
      <c r="J267" s="13">
        <v>62175</v>
      </c>
      <c r="M267">
        <v>34955</v>
      </c>
      <c r="N267">
        <v>156482</v>
      </c>
    </row>
    <row r="268" spans="3:14" x14ac:dyDescent="0.25">
      <c r="C268" s="3">
        <v>263</v>
      </c>
      <c r="D268" s="1">
        <v>19</v>
      </c>
      <c r="E268" s="1" t="s">
        <v>3</v>
      </c>
      <c r="F268" s="1" t="s">
        <v>1</v>
      </c>
      <c r="G268" s="1" t="s">
        <v>6</v>
      </c>
      <c r="H268" s="1">
        <v>12.32</v>
      </c>
      <c r="I268" s="1">
        <v>0</v>
      </c>
      <c r="J268" s="13">
        <v>90549</v>
      </c>
      <c r="M268">
        <v>27443</v>
      </c>
      <c r="N268">
        <v>116795</v>
      </c>
    </row>
    <row r="269" spans="3:14" x14ac:dyDescent="0.25">
      <c r="C269" s="3">
        <v>264</v>
      </c>
      <c r="D269" s="1">
        <v>53</v>
      </c>
      <c r="E269" s="1" t="s">
        <v>0</v>
      </c>
      <c r="F269" s="1" t="s">
        <v>4</v>
      </c>
      <c r="G269" s="1" t="s">
        <v>5</v>
      </c>
      <c r="H269" s="1">
        <v>12.69</v>
      </c>
      <c r="I269" s="1">
        <v>3</v>
      </c>
      <c r="J269" s="13">
        <v>51157</v>
      </c>
      <c r="M269">
        <v>15461</v>
      </c>
      <c r="N269">
        <v>94574</v>
      </c>
    </row>
    <row r="270" spans="3:14" x14ac:dyDescent="0.25">
      <c r="C270" s="3">
        <v>265</v>
      </c>
      <c r="D270" s="1">
        <v>46</v>
      </c>
      <c r="E270" s="1" t="s">
        <v>3</v>
      </c>
      <c r="F270" s="1" t="s">
        <v>1</v>
      </c>
      <c r="G270" s="1" t="s">
        <v>5</v>
      </c>
      <c r="H270" s="1">
        <v>14.12</v>
      </c>
      <c r="I270" s="1">
        <v>3</v>
      </c>
      <c r="J270" s="13">
        <v>115378</v>
      </c>
      <c r="M270">
        <v>12225</v>
      </c>
      <c r="N270">
        <v>53148</v>
      </c>
    </row>
    <row r="271" spans="3:14" x14ac:dyDescent="0.25">
      <c r="C271" s="3">
        <v>266</v>
      </c>
      <c r="D271" s="1">
        <v>40</v>
      </c>
      <c r="E271" s="1" t="s">
        <v>3</v>
      </c>
      <c r="F271" s="1" t="s">
        <v>1</v>
      </c>
      <c r="G271" s="1" t="s">
        <v>5</v>
      </c>
      <c r="H271" s="1">
        <v>6.6</v>
      </c>
      <c r="I271" s="1">
        <v>1</v>
      </c>
      <c r="J271" s="13">
        <v>42949</v>
      </c>
      <c r="M271">
        <v>20836</v>
      </c>
      <c r="N271">
        <v>40288</v>
      </c>
    </row>
    <row r="272" spans="3:14" x14ac:dyDescent="0.25">
      <c r="C272" s="3">
        <v>267</v>
      </c>
      <c r="D272" s="1">
        <v>59</v>
      </c>
      <c r="E272" s="1" t="s">
        <v>0</v>
      </c>
      <c r="F272" s="1" t="s">
        <v>4</v>
      </c>
      <c r="G272" s="1" t="s">
        <v>7</v>
      </c>
      <c r="H272" s="1">
        <v>10.8</v>
      </c>
      <c r="I272" s="1">
        <v>3</v>
      </c>
      <c r="J272" s="13">
        <v>36477</v>
      </c>
      <c r="M272">
        <v>13695</v>
      </c>
      <c r="N272">
        <v>53681</v>
      </c>
    </row>
    <row r="273" spans="3:14" x14ac:dyDescent="0.25">
      <c r="C273" s="3">
        <v>268</v>
      </c>
      <c r="D273" s="1">
        <v>45</v>
      </c>
      <c r="E273" s="1" t="s">
        <v>3</v>
      </c>
      <c r="F273" s="1" t="s">
        <v>4</v>
      </c>
      <c r="G273" s="1" t="s">
        <v>2</v>
      </c>
      <c r="H273" s="1">
        <v>10.07</v>
      </c>
      <c r="I273" s="1">
        <v>1</v>
      </c>
      <c r="J273" s="13">
        <v>18603</v>
      </c>
      <c r="M273">
        <v>4089</v>
      </c>
      <c r="N273">
        <v>84752</v>
      </c>
    </row>
    <row r="274" spans="3:14" x14ac:dyDescent="0.25">
      <c r="C274" s="3">
        <v>269</v>
      </c>
      <c r="D274" s="1">
        <v>49</v>
      </c>
      <c r="E274" s="1" t="s">
        <v>3</v>
      </c>
      <c r="F274" s="1" t="s">
        <v>4</v>
      </c>
      <c r="G274" s="1" t="s">
        <v>7</v>
      </c>
      <c r="H274" s="1">
        <v>8.61</v>
      </c>
      <c r="I274" s="1">
        <v>1</v>
      </c>
      <c r="J274" s="13">
        <v>23206</v>
      </c>
      <c r="M274">
        <v>29577</v>
      </c>
      <c r="N274">
        <v>90994</v>
      </c>
    </row>
    <row r="275" spans="3:14" x14ac:dyDescent="0.25">
      <c r="C275" s="3">
        <v>270</v>
      </c>
      <c r="D275" s="1">
        <v>18</v>
      </c>
      <c r="E275" s="1" t="s">
        <v>3</v>
      </c>
      <c r="F275" s="1" t="s">
        <v>4</v>
      </c>
      <c r="G275" s="1" t="s">
        <v>5</v>
      </c>
      <c r="H275" s="1">
        <v>9.7899999999999991</v>
      </c>
      <c r="I275" s="1">
        <v>1</v>
      </c>
      <c r="J275" s="13">
        <v>4299</v>
      </c>
      <c r="M275">
        <v>22330</v>
      </c>
      <c r="N275">
        <v>46915</v>
      </c>
    </row>
    <row r="276" spans="3:14" x14ac:dyDescent="0.25">
      <c r="C276" s="3">
        <v>271</v>
      </c>
      <c r="D276" s="1">
        <v>50</v>
      </c>
      <c r="E276" s="1" t="s">
        <v>3</v>
      </c>
      <c r="F276" s="1" t="s">
        <v>1</v>
      </c>
      <c r="G276" s="1" t="s">
        <v>2</v>
      </c>
      <c r="H276" s="1">
        <v>11.4</v>
      </c>
      <c r="I276" s="1">
        <v>2</v>
      </c>
      <c r="J276" s="13">
        <v>107142</v>
      </c>
      <c r="M276">
        <v>8886</v>
      </c>
      <c r="N276">
        <v>70253</v>
      </c>
    </row>
    <row r="277" spans="3:14" x14ac:dyDescent="0.25">
      <c r="C277" s="3">
        <v>272</v>
      </c>
      <c r="D277" s="1">
        <v>41</v>
      </c>
      <c r="E277" s="1" t="s">
        <v>3</v>
      </c>
      <c r="F277" s="1" t="s">
        <v>4</v>
      </c>
      <c r="G277" s="1" t="s">
        <v>6</v>
      </c>
      <c r="H277" s="1">
        <v>12.35</v>
      </c>
      <c r="I277" s="1">
        <v>2</v>
      </c>
      <c r="J277" s="13">
        <v>18164</v>
      </c>
      <c r="M277">
        <v>31012</v>
      </c>
      <c r="N277">
        <v>109741</v>
      </c>
    </row>
    <row r="278" spans="3:14" x14ac:dyDescent="0.25">
      <c r="C278" s="3">
        <v>273</v>
      </c>
      <c r="D278" s="1">
        <v>50</v>
      </c>
      <c r="E278" s="1" t="s">
        <v>3</v>
      </c>
      <c r="F278" s="1" t="s">
        <v>4</v>
      </c>
      <c r="G278" s="1" t="s">
        <v>7</v>
      </c>
      <c r="H278" s="1">
        <v>9.15</v>
      </c>
      <c r="I278" s="1">
        <v>1</v>
      </c>
      <c r="J278" s="13">
        <v>24044</v>
      </c>
      <c r="M278">
        <v>35333</v>
      </c>
      <c r="N278">
        <v>72853</v>
      </c>
    </row>
    <row r="279" spans="3:14" x14ac:dyDescent="0.25">
      <c r="C279" s="3">
        <v>274</v>
      </c>
      <c r="D279" s="1">
        <v>25</v>
      </c>
      <c r="E279" s="1" t="s">
        <v>3</v>
      </c>
      <c r="F279" s="1" t="s">
        <v>4</v>
      </c>
      <c r="G279" s="1" t="s">
        <v>6</v>
      </c>
      <c r="H279" s="1">
        <v>9.18</v>
      </c>
      <c r="I279" s="1">
        <v>0</v>
      </c>
      <c r="J279" s="13">
        <v>6308</v>
      </c>
      <c r="M279">
        <v>61508</v>
      </c>
    </row>
    <row r="280" spans="3:14" x14ac:dyDescent="0.25">
      <c r="C280" s="3">
        <v>275</v>
      </c>
      <c r="D280" s="1">
        <v>47</v>
      </c>
      <c r="E280" s="1" t="s">
        <v>0</v>
      </c>
      <c r="F280" s="1" t="s">
        <v>4</v>
      </c>
      <c r="G280" s="1" t="s">
        <v>7</v>
      </c>
      <c r="H280" s="1">
        <v>8.8699999999999992</v>
      </c>
      <c r="I280" s="1">
        <v>2</v>
      </c>
      <c r="J280" s="13">
        <v>24290</v>
      </c>
      <c r="M280">
        <v>22360</v>
      </c>
    </row>
    <row r="281" spans="3:14" x14ac:dyDescent="0.25">
      <c r="C281" s="3">
        <v>276</v>
      </c>
      <c r="D281" s="1">
        <v>19</v>
      </c>
      <c r="E281" s="1" t="s">
        <v>3</v>
      </c>
      <c r="F281" s="1" t="s">
        <v>4</v>
      </c>
      <c r="G281" s="1" t="s">
        <v>6</v>
      </c>
      <c r="H281" s="1">
        <v>6.87</v>
      </c>
      <c r="I281" s="1">
        <v>2</v>
      </c>
      <c r="J281" s="13">
        <v>7009</v>
      </c>
      <c r="M281">
        <v>24051</v>
      </c>
    </row>
    <row r="282" spans="3:14" x14ac:dyDescent="0.25">
      <c r="C282" s="3">
        <v>277</v>
      </c>
      <c r="D282" s="1">
        <v>22</v>
      </c>
      <c r="E282" s="1" t="s">
        <v>0</v>
      </c>
      <c r="F282" s="1" t="s">
        <v>4</v>
      </c>
      <c r="G282" s="1" t="s">
        <v>2</v>
      </c>
      <c r="H282" s="1">
        <v>8.1</v>
      </c>
      <c r="I282" s="1">
        <v>0</v>
      </c>
      <c r="J282" s="13">
        <v>5376</v>
      </c>
      <c r="M282">
        <v>4593</v>
      </c>
    </row>
    <row r="283" spans="3:14" x14ac:dyDescent="0.25">
      <c r="C283" s="3">
        <v>278</v>
      </c>
      <c r="D283" s="1">
        <v>59</v>
      </c>
      <c r="E283" s="1" t="s">
        <v>3</v>
      </c>
      <c r="F283" s="1" t="s">
        <v>4</v>
      </c>
      <c r="G283" s="1" t="s">
        <v>5</v>
      </c>
      <c r="H283" s="1">
        <v>10.6</v>
      </c>
      <c r="I283" s="1">
        <v>2</v>
      </c>
      <c r="J283" s="13">
        <v>32322</v>
      </c>
      <c r="M283">
        <v>4019</v>
      </c>
    </row>
    <row r="284" spans="3:14" x14ac:dyDescent="0.25">
      <c r="C284" s="3">
        <v>279</v>
      </c>
      <c r="D284" s="1">
        <v>51</v>
      </c>
      <c r="E284" s="1" t="s">
        <v>0</v>
      </c>
      <c r="F284" s="1" t="s">
        <v>4</v>
      </c>
      <c r="G284" s="1" t="s">
        <v>5</v>
      </c>
      <c r="H284" s="1">
        <v>7.19</v>
      </c>
      <c r="I284" s="1">
        <v>1</v>
      </c>
      <c r="J284" s="13">
        <v>24638</v>
      </c>
      <c r="M284">
        <v>25108</v>
      </c>
    </row>
    <row r="285" spans="3:14" x14ac:dyDescent="0.25">
      <c r="C285" s="3">
        <v>280</v>
      </c>
      <c r="D285" s="1">
        <v>40</v>
      </c>
      <c r="E285" s="1" t="s">
        <v>0</v>
      </c>
      <c r="F285" s="1" t="s">
        <v>1</v>
      </c>
      <c r="G285" s="1" t="s">
        <v>7</v>
      </c>
      <c r="H285" s="1">
        <v>9.3699999999999992</v>
      </c>
      <c r="I285" s="1">
        <v>1</v>
      </c>
      <c r="J285" s="13">
        <v>55829</v>
      </c>
      <c r="M285">
        <v>11878</v>
      </c>
    </row>
    <row r="286" spans="3:14" x14ac:dyDescent="0.25">
      <c r="C286" s="3">
        <v>281</v>
      </c>
      <c r="D286" s="1">
        <v>54</v>
      </c>
      <c r="E286" s="1" t="s">
        <v>3</v>
      </c>
      <c r="F286" s="1" t="s">
        <v>1</v>
      </c>
      <c r="G286" s="1" t="s">
        <v>7</v>
      </c>
      <c r="H286" s="1">
        <v>13.52</v>
      </c>
      <c r="I286" s="1">
        <v>3</v>
      </c>
      <c r="J286" s="13">
        <v>121373</v>
      </c>
      <c r="M286">
        <v>6494</v>
      </c>
    </row>
    <row r="287" spans="3:14" x14ac:dyDescent="0.25">
      <c r="C287" s="3">
        <v>282</v>
      </c>
      <c r="D287" s="1">
        <v>30</v>
      </c>
      <c r="E287" s="1" t="s">
        <v>3</v>
      </c>
      <c r="F287" s="1" t="s">
        <v>4</v>
      </c>
      <c r="G287" s="1" t="s">
        <v>7</v>
      </c>
      <c r="H287" s="1">
        <v>9.2200000000000006</v>
      </c>
      <c r="I287" s="1">
        <v>1</v>
      </c>
      <c r="J287" s="13">
        <v>10593</v>
      </c>
      <c r="M287">
        <v>7951</v>
      </c>
    </row>
    <row r="288" spans="3:14" x14ac:dyDescent="0.25">
      <c r="C288" s="3">
        <v>283</v>
      </c>
      <c r="D288" s="1">
        <v>55</v>
      </c>
      <c r="E288" s="1" t="s">
        <v>0</v>
      </c>
      <c r="F288" s="1" t="s">
        <v>4</v>
      </c>
      <c r="G288" s="1" t="s">
        <v>7</v>
      </c>
      <c r="H288" s="1">
        <v>10.8</v>
      </c>
      <c r="I288" s="1">
        <v>1</v>
      </c>
      <c r="J288" s="13">
        <v>29698</v>
      </c>
      <c r="M288">
        <v>24446</v>
      </c>
    </row>
    <row r="289" spans="3:13" x14ac:dyDescent="0.25">
      <c r="C289" s="3">
        <v>284</v>
      </c>
      <c r="D289" s="1">
        <v>52</v>
      </c>
      <c r="E289" s="1" t="s">
        <v>0</v>
      </c>
      <c r="F289" s="1" t="s">
        <v>4</v>
      </c>
      <c r="G289" s="1" t="s">
        <v>2</v>
      </c>
      <c r="H289" s="1">
        <v>10.4</v>
      </c>
      <c r="I289" s="1">
        <v>0</v>
      </c>
      <c r="J289" s="13">
        <v>24065</v>
      </c>
      <c r="M289">
        <v>33576</v>
      </c>
    </row>
    <row r="290" spans="3:13" x14ac:dyDescent="0.25">
      <c r="C290" s="3">
        <v>285</v>
      </c>
      <c r="D290" s="1">
        <v>46</v>
      </c>
      <c r="E290" s="1" t="s">
        <v>3</v>
      </c>
      <c r="F290" s="1" t="s">
        <v>4</v>
      </c>
      <c r="G290" s="1" t="s">
        <v>5</v>
      </c>
      <c r="H290" s="1">
        <v>8.8699999999999992</v>
      </c>
      <c r="I290" s="1">
        <v>1</v>
      </c>
      <c r="J290" s="13">
        <v>19355</v>
      </c>
      <c r="M290">
        <v>20043</v>
      </c>
    </row>
    <row r="291" spans="3:13" x14ac:dyDescent="0.25">
      <c r="C291" s="3">
        <v>286</v>
      </c>
      <c r="D291" s="1">
        <v>46</v>
      </c>
      <c r="E291" s="1" t="s">
        <v>0</v>
      </c>
      <c r="F291" s="1" t="s">
        <v>4</v>
      </c>
      <c r="G291" s="1" t="s">
        <v>7</v>
      </c>
      <c r="H291" s="1">
        <v>16.02</v>
      </c>
      <c r="I291" s="1">
        <v>2</v>
      </c>
      <c r="J291" s="13">
        <v>23582</v>
      </c>
      <c r="M291">
        <v>20291</v>
      </c>
    </row>
    <row r="292" spans="3:13" x14ac:dyDescent="0.25">
      <c r="C292" s="3">
        <v>287</v>
      </c>
      <c r="D292" s="1">
        <v>63</v>
      </c>
      <c r="E292" s="1" t="s">
        <v>0</v>
      </c>
      <c r="F292" s="1" t="s">
        <v>4</v>
      </c>
      <c r="G292" s="1" t="s">
        <v>6</v>
      </c>
      <c r="H292" s="1">
        <v>8.74</v>
      </c>
      <c r="I292" s="1">
        <v>0</v>
      </c>
      <c r="J292" s="13">
        <v>35640</v>
      </c>
      <c r="M292">
        <v>8705</v>
      </c>
    </row>
    <row r="293" spans="3:13" x14ac:dyDescent="0.25">
      <c r="C293" s="3">
        <v>288</v>
      </c>
      <c r="D293" s="1">
        <v>59</v>
      </c>
      <c r="E293" s="1" t="s">
        <v>0</v>
      </c>
      <c r="F293" s="1" t="s">
        <v>1</v>
      </c>
      <c r="G293" s="1" t="s">
        <v>7</v>
      </c>
      <c r="H293" s="1">
        <v>12.26</v>
      </c>
      <c r="I293" s="1">
        <v>1</v>
      </c>
      <c r="J293" s="13">
        <v>119742</v>
      </c>
      <c r="M293">
        <v>33538</v>
      </c>
    </row>
    <row r="294" spans="3:13" x14ac:dyDescent="0.25">
      <c r="C294" s="3">
        <v>289</v>
      </c>
      <c r="D294" s="1">
        <v>52</v>
      </c>
      <c r="E294" s="1" t="s">
        <v>3</v>
      </c>
      <c r="F294" s="1" t="s">
        <v>4</v>
      </c>
      <c r="G294" s="1" t="s">
        <v>5</v>
      </c>
      <c r="H294" s="1">
        <v>8.8000000000000007</v>
      </c>
      <c r="I294" s="1">
        <v>3</v>
      </c>
      <c r="J294" s="13">
        <v>64982</v>
      </c>
      <c r="M294">
        <v>30073</v>
      </c>
    </row>
    <row r="295" spans="3:13" x14ac:dyDescent="0.25">
      <c r="C295" s="3">
        <v>290</v>
      </c>
      <c r="D295" s="1">
        <v>28</v>
      </c>
      <c r="E295" s="1" t="s">
        <v>0</v>
      </c>
      <c r="F295" s="1" t="s">
        <v>4</v>
      </c>
      <c r="G295" s="1" t="s">
        <v>2</v>
      </c>
      <c r="H295" s="1">
        <v>11.13</v>
      </c>
      <c r="I295" s="1">
        <v>0</v>
      </c>
      <c r="J295" s="13">
        <v>7930</v>
      </c>
      <c r="M295">
        <v>19099</v>
      </c>
    </row>
    <row r="296" spans="3:13" x14ac:dyDescent="0.25">
      <c r="C296" s="3">
        <v>291</v>
      </c>
      <c r="D296" s="1">
        <v>29</v>
      </c>
      <c r="E296" s="1" t="s">
        <v>3</v>
      </c>
      <c r="F296" s="1" t="s">
        <v>4</v>
      </c>
      <c r="G296" s="1" t="s">
        <v>7</v>
      </c>
      <c r="H296" s="1">
        <v>9.8800000000000008</v>
      </c>
      <c r="I296" s="1">
        <v>1</v>
      </c>
      <c r="J296" s="13">
        <v>50695</v>
      </c>
      <c r="M296">
        <v>3479</v>
      </c>
    </row>
    <row r="297" spans="3:13" x14ac:dyDescent="0.25">
      <c r="C297" s="3">
        <v>292</v>
      </c>
      <c r="D297" s="1">
        <v>25</v>
      </c>
      <c r="E297" s="1" t="s">
        <v>3</v>
      </c>
      <c r="F297" s="1" t="s">
        <v>1</v>
      </c>
      <c r="G297" s="1" t="s">
        <v>5</v>
      </c>
      <c r="H297" s="1">
        <v>15.18</v>
      </c>
      <c r="I297" s="1">
        <v>2</v>
      </c>
      <c r="J297" s="13">
        <v>105281</v>
      </c>
      <c r="M297">
        <v>41139</v>
      </c>
    </row>
    <row r="298" spans="3:13" x14ac:dyDescent="0.25">
      <c r="C298" s="3">
        <v>293</v>
      </c>
      <c r="D298" s="1">
        <v>22</v>
      </c>
      <c r="E298" s="1" t="s">
        <v>0</v>
      </c>
      <c r="F298" s="1" t="s">
        <v>4</v>
      </c>
      <c r="G298" s="1" t="s">
        <v>5</v>
      </c>
      <c r="H298" s="1">
        <v>9.61</v>
      </c>
      <c r="I298" s="1">
        <v>0</v>
      </c>
      <c r="J298" s="13">
        <v>5392</v>
      </c>
      <c r="M298">
        <v>67502</v>
      </c>
    </row>
    <row r="299" spans="3:13" x14ac:dyDescent="0.25">
      <c r="C299" s="3">
        <v>294</v>
      </c>
      <c r="D299" s="1">
        <v>25</v>
      </c>
      <c r="E299" s="1" t="s">
        <v>3</v>
      </c>
      <c r="F299" s="1" t="s">
        <v>4</v>
      </c>
      <c r="G299" s="1" t="s">
        <v>2</v>
      </c>
      <c r="H299" s="1">
        <v>8.93</v>
      </c>
      <c r="I299" s="1">
        <v>3</v>
      </c>
      <c r="J299" s="13">
        <v>9765</v>
      </c>
      <c r="M299">
        <v>51954</v>
      </c>
    </row>
    <row r="300" spans="3:13" x14ac:dyDescent="0.25">
      <c r="C300" s="3">
        <v>295</v>
      </c>
      <c r="D300" s="1">
        <v>18</v>
      </c>
      <c r="E300" s="1" t="s">
        <v>3</v>
      </c>
      <c r="F300" s="1" t="s">
        <v>4</v>
      </c>
      <c r="G300" s="1" t="s">
        <v>7</v>
      </c>
      <c r="H300" s="1">
        <v>7.66</v>
      </c>
      <c r="I300" s="1">
        <v>0</v>
      </c>
      <c r="J300" s="13">
        <v>4261</v>
      </c>
      <c r="M300">
        <v>14617</v>
      </c>
    </row>
    <row r="301" spans="3:13" x14ac:dyDescent="0.25">
      <c r="C301" s="3">
        <v>296</v>
      </c>
      <c r="D301" s="1">
        <v>19</v>
      </c>
      <c r="E301" s="1" t="s">
        <v>3</v>
      </c>
      <c r="F301" s="1" t="s">
        <v>1</v>
      </c>
      <c r="G301" s="1" t="s">
        <v>2</v>
      </c>
      <c r="H301" s="1">
        <v>9.23</v>
      </c>
      <c r="I301" s="1">
        <v>0</v>
      </c>
      <c r="J301" s="13">
        <v>40745</v>
      </c>
      <c r="M301">
        <v>20756</v>
      </c>
    </row>
    <row r="302" spans="3:13" x14ac:dyDescent="0.25">
      <c r="C302" s="3">
        <v>297</v>
      </c>
      <c r="D302" s="1">
        <v>47</v>
      </c>
      <c r="E302" s="1" t="s">
        <v>3</v>
      </c>
      <c r="F302" s="1" t="s">
        <v>1</v>
      </c>
      <c r="G302" s="1" t="s">
        <v>5</v>
      </c>
      <c r="H302" s="1">
        <v>8.4700000000000006</v>
      </c>
      <c r="I302" s="1">
        <v>1</v>
      </c>
      <c r="J302" s="13">
        <v>54947</v>
      </c>
      <c r="M302">
        <v>3155</v>
      </c>
    </row>
    <row r="303" spans="3:13" x14ac:dyDescent="0.25">
      <c r="C303" s="3">
        <v>298</v>
      </c>
      <c r="D303" s="1">
        <v>31</v>
      </c>
      <c r="E303" s="1" t="s">
        <v>3</v>
      </c>
      <c r="F303" s="1" t="s">
        <v>1</v>
      </c>
      <c r="G303" s="1" t="s">
        <v>6</v>
      </c>
      <c r="H303" s="1">
        <v>11.46</v>
      </c>
      <c r="I303" s="1">
        <v>3</v>
      </c>
      <c r="J303" s="13">
        <v>96866</v>
      </c>
      <c r="M303">
        <v>29641</v>
      </c>
    </row>
    <row r="304" spans="3:13" x14ac:dyDescent="0.25">
      <c r="C304" s="3">
        <v>299</v>
      </c>
      <c r="D304" s="1">
        <v>48</v>
      </c>
      <c r="E304" s="1" t="s">
        <v>0</v>
      </c>
      <c r="F304" s="1" t="s">
        <v>4</v>
      </c>
      <c r="G304" s="1" t="s">
        <v>6</v>
      </c>
      <c r="H304" s="1">
        <v>9.6300000000000008</v>
      </c>
      <c r="I304" s="1">
        <v>1</v>
      </c>
      <c r="J304" s="13">
        <v>23124</v>
      </c>
      <c r="M304">
        <v>75712</v>
      </c>
    </row>
    <row r="305" spans="3:13" x14ac:dyDescent="0.25">
      <c r="C305" s="3">
        <v>300</v>
      </c>
      <c r="D305" s="1">
        <v>36</v>
      </c>
      <c r="E305" s="1" t="s">
        <v>3</v>
      </c>
      <c r="F305" s="1" t="s">
        <v>4</v>
      </c>
      <c r="G305" s="1" t="s">
        <v>7</v>
      </c>
      <c r="H305" s="1">
        <v>9.18</v>
      </c>
      <c r="I305" s="1">
        <v>3</v>
      </c>
      <c r="J305" s="13">
        <v>16867</v>
      </c>
      <c r="M305">
        <v>7942</v>
      </c>
    </row>
    <row r="306" spans="3:13" x14ac:dyDescent="0.25">
      <c r="C306" s="3">
        <v>301</v>
      </c>
      <c r="D306" s="1">
        <v>53</v>
      </c>
      <c r="E306" s="1" t="s">
        <v>0</v>
      </c>
      <c r="F306" s="1" t="s">
        <v>1</v>
      </c>
      <c r="G306" s="1" t="s">
        <v>7</v>
      </c>
      <c r="H306" s="1">
        <v>7.54</v>
      </c>
      <c r="I306" s="1">
        <v>3</v>
      </c>
      <c r="J306" s="13">
        <v>62183</v>
      </c>
      <c r="M306">
        <v>11545</v>
      </c>
    </row>
    <row r="307" spans="3:13" x14ac:dyDescent="0.25">
      <c r="C307" s="3">
        <v>302</v>
      </c>
      <c r="D307" s="1">
        <v>56</v>
      </c>
      <c r="E307" s="1" t="s">
        <v>0</v>
      </c>
      <c r="F307" s="1" t="s">
        <v>4</v>
      </c>
      <c r="G307" s="1" t="s">
        <v>5</v>
      </c>
      <c r="H307" s="1">
        <v>12.5</v>
      </c>
      <c r="I307" s="1">
        <v>2</v>
      </c>
      <c r="J307" s="13">
        <v>30664</v>
      </c>
      <c r="M307">
        <v>26842</v>
      </c>
    </row>
    <row r="308" spans="3:13" x14ac:dyDescent="0.25">
      <c r="C308" s="3">
        <v>303</v>
      </c>
      <c r="D308" s="1">
        <v>28</v>
      </c>
      <c r="E308" s="1" t="s">
        <v>0</v>
      </c>
      <c r="F308" s="1" t="s">
        <v>4</v>
      </c>
      <c r="G308" s="1" t="s">
        <v>5</v>
      </c>
      <c r="H308" s="1">
        <v>11</v>
      </c>
      <c r="I308" s="1">
        <v>2</v>
      </c>
      <c r="J308" s="13">
        <v>10874</v>
      </c>
      <c r="M308">
        <v>5345</v>
      </c>
    </row>
    <row r="309" spans="3:13" x14ac:dyDescent="0.25">
      <c r="C309" s="3">
        <v>304</v>
      </c>
      <c r="D309" s="1">
        <v>57</v>
      </c>
      <c r="E309" s="1" t="s">
        <v>0</v>
      </c>
      <c r="F309" s="1" t="s">
        <v>4</v>
      </c>
      <c r="G309" s="1" t="s">
        <v>2</v>
      </c>
      <c r="H309" s="1">
        <v>12.67</v>
      </c>
      <c r="I309" s="1">
        <v>2</v>
      </c>
      <c r="J309" s="13">
        <v>31616</v>
      </c>
      <c r="M309">
        <v>22410</v>
      </c>
    </row>
    <row r="310" spans="3:13" x14ac:dyDescent="0.25">
      <c r="C310" s="3">
        <v>305</v>
      </c>
      <c r="D310" s="1">
        <v>29</v>
      </c>
      <c r="E310" s="1" t="s">
        <v>3</v>
      </c>
      <c r="F310" s="1" t="s">
        <v>4</v>
      </c>
      <c r="G310" s="1" t="s">
        <v>6</v>
      </c>
      <c r="H310" s="1">
        <v>11.12</v>
      </c>
      <c r="I310" s="1">
        <v>2</v>
      </c>
      <c r="J310" s="13">
        <v>48606</v>
      </c>
      <c r="M310">
        <v>23225</v>
      </c>
    </row>
    <row r="311" spans="3:13" x14ac:dyDescent="0.25">
      <c r="C311" s="3">
        <v>306</v>
      </c>
      <c r="D311" s="1">
        <v>28</v>
      </c>
      <c r="E311" s="1" t="s">
        <v>0</v>
      </c>
      <c r="F311" s="1" t="s">
        <v>4</v>
      </c>
      <c r="G311" s="1" t="s">
        <v>2</v>
      </c>
      <c r="H311" s="1">
        <v>9.17</v>
      </c>
      <c r="I311" s="1">
        <v>2</v>
      </c>
      <c r="J311" s="13">
        <v>50444</v>
      </c>
      <c r="M311">
        <v>23528</v>
      </c>
    </row>
    <row r="312" spans="3:13" x14ac:dyDescent="0.25">
      <c r="C312" s="3">
        <v>307</v>
      </c>
      <c r="D312" s="1">
        <v>30</v>
      </c>
      <c r="E312" s="1" t="s">
        <v>0</v>
      </c>
      <c r="F312" s="1" t="s">
        <v>4</v>
      </c>
      <c r="G312" s="1" t="s">
        <v>5</v>
      </c>
      <c r="H312" s="1">
        <v>11.11</v>
      </c>
      <c r="I312" s="1">
        <v>1</v>
      </c>
      <c r="J312" s="13">
        <v>10378</v>
      </c>
      <c r="M312">
        <v>18817</v>
      </c>
    </row>
    <row r="313" spans="3:13" x14ac:dyDescent="0.25">
      <c r="C313" s="3">
        <v>308</v>
      </c>
      <c r="D313" s="1">
        <v>58</v>
      </c>
      <c r="E313" s="1" t="s">
        <v>3</v>
      </c>
      <c r="F313" s="1" t="s">
        <v>4</v>
      </c>
      <c r="G313" s="1" t="s">
        <v>7</v>
      </c>
      <c r="H313" s="1">
        <v>11.62</v>
      </c>
      <c r="I313" s="1">
        <v>0</v>
      </c>
      <c r="J313" s="13">
        <v>29861</v>
      </c>
      <c r="M313">
        <v>21305</v>
      </c>
    </row>
    <row r="314" spans="3:13" x14ac:dyDescent="0.25">
      <c r="C314" s="3">
        <v>309</v>
      </c>
      <c r="D314" s="1">
        <v>41</v>
      </c>
      <c r="E314" s="1" t="s">
        <v>0</v>
      </c>
      <c r="F314" s="1" t="s">
        <v>4</v>
      </c>
      <c r="G314" s="1" t="s">
        <v>6</v>
      </c>
      <c r="H314" s="1">
        <v>11.02</v>
      </c>
      <c r="I314" s="1">
        <v>2</v>
      </c>
      <c r="J314" s="13">
        <v>19373</v>
      </c>
      <c r="M314">
        <v>41466</v>
      </c>
    </row>
    <row r="315" spans="3:13" x14ac:dyDescent="0.25">
      <c r="C315" s="3">
        <v>310</v>
      </c>
      <c r="D315" s="1">
        <v>50</v>
      </c>
      <c r="E315" s="1" t="s">
        <v>3</v>
      </c>
      <c r="F315" s="1" t="s">
        <v>4</v>
      </c>
      <c r="G315" s="1" t="s">
        <v>2</v>
      </c>
      <c r="H315" s="1">
        <v>8.8699999999999992</v>
      </c>
      <c r="I315" s="1">
        <v>0</v>
      </c>
      <c r="J315" s="13">
        <v>21111</v>
      </c>
      <c r="M315">
        <v>37471</v>
      </c>
    </row>
    <row r="316" spans="3:13" x14ac:dyDescent="0.25">
      <c r="C316" s="3">
        <v>311</v>
      </c>
      <c r="D316" s="1">
        <v>19</v>
      </c>
      <c r="E316" s="1" t="s">
        <v>0</v>
      </c>
      <c r="F316" s="1" t="s">
        <v>4</v>
      </c>
      <c r="G316" s="1" t="s">
        <v>2</v>
      </c>
      <c r="H316" s="1">
        <v>8.23</v>
      </c>
      <c r="I316" s="1">
        <v>0</v>
      </c>
      <c r="J316" s="13">
        <v>4343</v>
      </c>
      <c r="M316">
        <v>4079</v>
      </c>
    </row>
    <row r="317" spans="3:13" x14ac:dyDescent="0.25">
      <c r="C317" s="3">
        <v>312</v>
      </c>
      <c r="D317" s="1">
        <v>43</v>
      </c>
      <c r="E317" s="1" t="s">
        <v>3</v>
      </c>
      <c r="F317" s="1" t="s">
        <v>1</v>
      </c>
      <c r="G317" s="1" t="s">
        <v>5</v>
      </c>
      <c r="H317" s="1">
        <v>11.99</v>
      </c>
      <c r="I317" s="1">
        <v>3</v>
      </c>
      <c r="J317" s="13">
        <v>105311</v>
      </c>
      <c r="M317">
        <v>23162</v>
      </c>
    </row>
    <row r="318" spans="3:13" x14ac:dyDescent="0.25">
      <c r="C318" s="3">
        <v>313</v>
      </c>
      <c r="D318" s="1">
        <v>49</v>
      </c>
      <c r="E318" s="1" t="s">
        <v>3</v>
      </c>
      <c r="F318" s="1" t="s">
        <v>4</v>
      </c>
      <c r="G318" s="1" t="s">
        <v>5</v>
      </c>
      <c r="H318" s="1">
        <v>11.95</v>
      </c>
      <c r="I318" s="1">
        <v>0</v>
      </c>
      <c r="J318" s="13">
        <v>20311</v>
      </c>
      <c r="M318">
        <v>20210</v>
      </c>
    </row>
    <row r="319" spans="3:13" x14ac:dyDescent="0.25">
      <c r="C319" s="3">
        <v>314</v>
      </c>
      <c r="D319" s="1">
        <v>27</v>
      </c>
      <c r="E319" s="1" t="s">
        <v>0</v>
      </c>
      <c r="F319" s="1" t="s">
        <v>1</v>
      </c>
      <c r="G319" s="1" t="s">
        <v>2</v>
      </c>
      <c r="H319" s="1">
        <v>10.47</v>
      </c>
      <c r="I319" s="1">
        <v>0</v>
      </c>
      <c r="J319" s="13">
        <v>87097</v>
      </c>
      <c r="M319">
        <v>36732</v>
      </c>
    </row>
    <row r="320" spans="3:13" x14ac:dyDescent="0.25">
      <c r="C320" s="3">
        <v>315</v>
      </c>
      <c r="D320" s="1">
        <v>52</v>
      </c>
      <c r="E320" s="1" t="s">
        <v>3</v>
      </c>
      <c r="F320" s="1" t="s">
        <v>4</v>
      </c>
      <c r="G320" s="1" t="s">
        <v>7</v>
      </c>
      <c r="H320" s="1">
        <v>11.08</v>
      </c>
      <c r="I320" s="1">
        <v>0</v>
      </c>
      <c r="J320" s="13">
        <v>24307</v>
      </c>
      <c r="M320">
        <v>25674</v>
      </c>
    </row>
    <row r="321" spans="3:13" x14ac:dyDescent="0.25">
      <c r="C321" s="3">
        <v>316</v>
      </c>
      <c r="D321" s="1">
        <v>50</v>
      </c>
      <c r="E321" s="1" t="s">
        <v>3</v>
      </c>
      <c r="F321" s="1" t="s">
        <v>4</v>
      </c>
      <c r="G321" s="1" t="s">
        <v>6</v>
      </c>
      <c r="H321" s="1">
        <v>10.74</v>
      </c>
      <c r="I321" s="1">
        <v>0</v>
      </c>
      <c r="J321" s="13">
        <v>22088</v>
      </c>
      <c r="M321">
        <v>8150</v>
      </c>
    </row>
    <row r="322" spans="3:13" x14ac:dyDescent="0.25">
      <c r="C322" s="3">
        <v>317</v>
      </c>
      <c r="D322" s="1">
        <v>54</v>
      </c>
      <c r="E322" s="1" t="s">
        <v>3</v>
      </c>
      <c r="F322" s="1" t="s">
        <v>4</v>
      </c>
      <c r="G322" s="1" t="s">
        <v>7</v>
      </c>
      <c r="H322" s="1">
        <v>10.92</v>
      </c>
      <c r="I322" s="1">
        <v>0</v>
      </c>
      <c r="J322" s="13">
        <v>26088</v>
      </c>
      <c r="M322">
        <v>28492</v>
      </c>
    </row>
    <row r="323" spans="3:13" x14ac:dyDescent="0.25">
      <c r="C323" s="3">
        <v>318</v>
      </c>
      <c r="D323" s="1">
        <v>44</v>
      </c>
      <c r="E323" s="1" t="s">
        <v>0</v>
      </c>
      <c r="F323" s="1" t="s">
        <v>4</v>
      </c>
      <c r="G323" s="1" t="s">
        <v>6</v>
      </c>
      <c r="H323" s="1">
        <v>9.2200000000000006</v>
      </c>
      <c r="I323" s="1">
        <v>0</v>
      </c>
      <c r="J323" s="13">
        <v>18553</v>
      </c>
      <c r="M323">
        <v>10463</v>
      </c>
    </row>
    <row r="324" spans="3:13" x14ac:dyDescent="0.25">
      <c r="C324" s="3">
        <v>319</v>
      </c>
      <c r="D324" s="1">
        <v>32</v>
      </c>
      <c r="E324" s="1" t="s">
        <v>3</v>
      </c>
      <c r="F324" s="1" t="s">
        <v>4</v>
      </c>
      <c r="G324" s="1" t="s">
        <v>7</v>
      </c>
      <c r="H324" s="1">
        <v>12.44</v>
      </c>
      <c r="I324" s="1">
        <v>1</v>
      </c>
      <c r="J324" s="13">
        <v>11669</v>
      </c>
      <c r="M324">
        <v>21349</v>
      </c>
    </row>
    <row r="325" spans="3:13" x14ac:dyDescent="0.25">
      <c r="C325" s="3">
        <v>320</v>
      </c>
      <c r="D325" s="1">
        <v>34</v>
      </c>
      <c r="E325" s="1" t="s">
        <v>3</v>
      </c>
      <c r="F325" s="1" t="s">
        <v>4</v>
      </c>
      <c r="G325" s="1" t="s">
        <v>6</v>
      </c>
      <c r="H325" s="1">
        <v>8.42</v>
      </c>
      <c r="I325" s="1">
        <v>1</v>
      </c>
      <c r="J325" s="13">
        <v>12237</v>
      </c>
      <c r="M325">
        <v>16631</v>
      </c>
    </row>
    <row r="326" spans="3:13" x14ac:dyDescent="0.25">
      <c r="C326" s="3">
        <v>321</v>
      </c>
      <c r="D326" s="1">
        <v>26</v>
      </c>
      <c r="E326" s="1" t="s">
        <v>0</v>
      </c>
      <c r="F326" s="1" t="s">
        <v>4</v>
      </c>
      <c r="G326" s="1" t="s">
        <v>7</v>
      </c>
      <c r="H326" s="1">
        <v>9.8800000000000008</v>
      </c>
      <c r="I326" s="1">
        <v>4</v>
      </c>
      <c r="J326" s="13">
        <v>61679</v>
      </c>
      <c r="M326">
        <v>10186</v>
      </c>
    </row>
    <row r="327" spans="3:13" x14ac:dyDescent="0.25">
      <c r="C327" s="3">
        <v>322</v>
      </c>
      <c r="D327" s="1">
        <v>34</v>
      </c>
      <c r="E327" s="1" t="s">
        <v>3</v>
      </c>
      <c r="F327" s="1" t="s">
        <v>1</v>
      </c>
      <c r="G327" s="1" t="s">
        <v>2</v>
      </c>
      <c r="H327" s="1">
        <v>10.27</v>
      </c>
      <c r="I327" s="1">
        <v>0</v>
      </c>
      <c r="J327" s="13">
        <v>88729</v>
      </c>
      <c r="M327">
        <v>4053</v>
      </c>
    </row>
    <row r="328" spans="3:13" x14ac:dyDescent="0.25">
      <c r="C328" s="3">
        <v>323</v>
      </c>
      <c r="D328" s="1">
        <v>57</v>
      </c>
      <c r="E328" s="1" t="s">
        <v>3</v>
      </c>
      <c r="F328" s="1" t="s">
        <v>4</v>
      </c>
      <c r="G328" s="1" t="s">
        <v>7</v>
      </c>
      <c r="H328" s="1">
        <v>13.65</v>
      </c>
      <c r="I328" s="1">
        <v>0</v>
      </c>
      <c r="J328" s="13">
        <v>28916</v>
      </c>
      <c r="M328">
        <v>12700</v>
      </c>
    </row>
    <row r="329" spans="3:13" x14ac:dyDescent="0.25">
      <c r="C329" s="3">
        <v>324</v>
      </c>
      <c r="D329" s="1">
        <v>29</v>
      </c>
      <c r="E329" s="1" t="s">
        <v>3</v>
      </c>
      <c r="F329" s="1" t="s">
        <v>4</v>
      </c>
      <c r="G329" s="1" t="s">
        <v>2</v>
      </c>
      <c r="H329" s="1">
        <v>9.07</v>
      </c>
      <c r="I329" s="1">
        <v>0</v>
      </c>
      <c r="J329" s="13">
        <v>7165</v>
      </c>
      <c r="M329">
        <v>5337</v>
      </c>
    </row>
    <row r="330" spans="3:13" x14ac:dyDescent="0.25">
      <c r="C330" s="3">
        <v>325</v>
      </c>
      <c r="D330" s="1">
        <v>40</v>
      </c>
      <c r="E330" s="1" t="s">
        <v>3</v>
      </c>
      <c r="F330" s="1" t="s">
        <v>4</v>
      </c>
      <c r="G330" s="1" t="s">
        <v>7</v>
      </c>
      <c r="H330" s="1">
        <v>11.37</v>
      </c>
      <c r="I330" s="1">
        <v>1</v>
      </c>
      <c r="J330" s="13">
        <v>16501</v>
      </c>
      <c r="M330">
        <v>18364</v>
      </c>
    </row>
    <row r="331" spans="3:13" x14ac:dyDescent="0.25">
      <c r="C331" s="3">
        <v>326</v>
      </c>
      <c r="D331" s="1">
        <v>27</v>
      </c>
      <c r="E331" s="1" t="s">
        <v>0</v>
      </c>
      <c r="F331" s="1" t="s">
        <v>4</v>
      </c>
      <c r="G331" s="1" t="s">
        <v>5</v>
      </c>
      <c r="H331" s="1">
        <v>7.74</v>
      </c>
      <c r="I331" s="1">
        <v>1</v>
      </c>
      <c r="J331" s="13">
        <v>8905</v>
      </c>
      <c r="M331">
        <v>22852</v>
      </c>
    </row>
    <row r="332" spans="3:13" x14ac:dyDescent="0.25">
      <c r="C332" s="3">
        <v>327</v>
      </c>
      <c r="D332" s="1">
        <v>45</v>
      </c>
      <c r="E332" s="1" t="s">
        <v>3</v>
      </c>
      <c r="F332" s="1" t="s">
        <v>1</v>
      </c>
      <c r="G332" s="1" t="s">
        <v>6</v>
      </c>
      <c r="H332" s="1">
        <v>12.16</v>
      </c>
      <c r="I332" s="1">
        <v>2</v>
      </c>
      <c r="J332" s="13">
        <v>106901</v>
      </c>
      <c r="M332">
        <v>36046</v>
      </c>
    </row>
    <row r="333" spans="3:13" x14ac:dyDescent="0.25">
      <c r="C333" s="3">
        <v>328</v>
      </c>
      <c r="D333" s="1">
        <v>64</v>
      </c>
      <c r="E333" s="1" t="s">
        <v>0</v>
      </c>
      <c r="F333" s="1" t="s">
        <v>1</v>
      </c>
      <c r="G333" s="1" t="s">
        <v>2</v>
      </c>
      <c r="H333" s="1">
        <v>11.27</v>
      </c>
      <c r="I333" s="1">
        <v>1</v>
      </c>
      <c r="J333" s="13">
        <v>119820</v>
      </c>
      <c r="M333">
        <v>6818</v>
      </c>
    </row>
    <row r="334" spans="3:13" x14ac:dyDescent="0.25">
      <c r="C334" s="3">
        <v>329</v>
      </c>
      <c r="D334" s="1">
        <v>52</v>
      </c>
      <c r="E334" s="1" t="s">
        <v>3</v>
      </c>
      <c r="F334" s="1" t="s">
        <v>4</v>
      </c>
      <c r="G334" s="1" t="s">
        <v>2</v>
      </c>
      <c r="H334" s="1">
        <v>12.23</v>
      </c>
      <c r="I334" s="1">
        <v>0</v>
      </c>
      <c r="J334" s="13">
        <v>22861</v>
      </c>
      <c r="M334">
        <v>22421</v>
      </c>
    </row>
    <row r="335" spans="3:13" x14ac:dyDescent="0.25">
      <c r="C335" s="3">
        <v>330</v>
      </c>
      <c r="D335" s="1">
        <v>61</v>
      </c>
      <c r="E335" s="1" t="s">
        <v>0</v>
      </c>
      <c r="F335" s="1" t="s">
        <v>1</v>
      </c>
      <c r="G335" s="1" t="s">
        <v>7</v>
      </c>
      <c r="H335" s="1">
        <v>12.13</v>
      </c>
      <c r="I335" s="1">
        <v>1</v>
      </c>
      <c r="J335" s="13">
        <v>121294</v>
      </c>
      <c r="M335">
        <v>24472</v>
      </c>
    </row>
    <row r="336" spans="3:13" x14ac:dyDescent="0.25">
      <c r="C336" s="3">
        <v>331</v>
      </c>
      <c r="D336" s="1">
        <v>52</v>
      </c>
      <c r="E336" s="1" t="s">
        <v>3</v>
      </c>
      <c r="F336" s="1" t="s">
        <v>1</v>
      </c>
      <c r="G336" s="1" t="s">
        <v>6</v>
      </c>
      <c r="H336" s="1">
        <v>9.1199999999999992</v>
      </c>
      <c r="I336" s="1">
        <v>0</v>
      </c>
      <c r="J336" s="13">
        <v>60984</v>
      </c>
      <c r="M336">
        <v>16388</v>
      </c>
    </row>
    <row r="337" spans="3:13" x14ac:dyDescent="0.25">
      <c r="C337" s="3">
        <v>332</v>
      </c>
      <c r="D337" s="1">
        <v>61</v>
      </c>
      <c r="E337" s="1" t="s">
        <v>0</v>
      </c>
      <c r="F337" s="1" t="s">
        <v>4</v>
      </c>
      <c r="G337" s="1" t="s">
        <v>6</v>
      </c>
      <c r="H337" s="1">
        <v>10.39</v>
      </c>
      <c r="I337" s="1">
        <v>0</v>
      </c>
      <c r="J337" s="13">
        <v>33573</v>
      </c>
      <c r="M337">
        <v>18309</v>
      </c>
    </row>
    <row r="338" spans="3:13" x14ac:dyDescent="0.25">
      <c r="C338" s="3">
        <v>333</v>
      </c>
      <c r="D338" s="1">
        <v>56</v>
      </c>
      <c r="E338" s="1" t="s">
        <v>0</v>
      </c>
      <c r="F338" s="1" t="s">
        <v>4</v>
      </c>
      <c r="G338" s="1" t="s">
        <v>7</v>
      </c>
      <c r="H338" s="1">
        <v>9.6</v>
      </c>
      <c r="I338" s="1">
        <v>0</v>
      </c>
      <c r="J338" s="13">
        <v>29146</v>
      </c>
      <c r="M338">
        <v>7919</v>
      </c>
    </row>
    <row r="339" spans="3:13" x14ac:dyDescent="0.25">
      <c r="C339" s="3">
        <v>334</v>
      </c>
      <c r="D339" s="1">
        <v>43</v>
      </c>
      <c r="E339" s="1" t="s">
        <v>0</v>
      </c>
      <c r="F339" s="1" t="s">
        <v>4</v>
      </c>
      <c r="G339" s="1" t="s">
        <v>7</v>
      </c>
      <c r="H339" s="1">
        <v>11.91</v>
      </c>
      <c r="I339" s="1">
        <v>2</v>
      </c>
      <c r="J339" s="13">
        <v>47861</v>
      </c>
      <c r="M339">
        <v>47012</v>
      </c>
    </row>
    <row r="340" spans="3:13" x14ac:dyDescent="0.25">
      <c r="C340" s="3">
        <v>335</v>
      </c>
      <c r="D340" s="1">
        <v>64</v>
      </c>
      <c r="E340" s="1" t="s">
        <v>3</v>
      </c>
      <c r="F340" s="1" t="s">
        <v>4</v>
      </c>
      <c r="G340" s="1" t="s">
        <v>2</v>
      </c>
      <c r="H340" s="1">
        <v>11.5</v>
      </c>
      <c r="I340" s="1">
        <v>0</v>
      </c>
      <c r="J340" s="13">
        <v>34557</v>
      </c>
      <c r="M340">
        <v>57707</v>
      </c>
    </row>
    <row r="341" spans="3:13" x14ac:dyDescent="0.25">
      <c r="C341" s="3">
        <v>336</v>
      </c>
      <c r="D341" s="1">
        <v>60</v>
      </c>
      <c r="E341" s="1" t="s">
        <v>3</v>
      </c>
      <c r="F341" s="1" t="s">
        <v>4</v>
      </c>
      <c r="G341" s="1" t="s">
        <v>5</v>
      </c>
      <c r="H341" s="1">
        <v>8.58</v>
      </c>
      <c r="I341" s="1">
        <v>0</v>
      </c>
      <c r="J341" s="13">
        <v>30356</v>
      </c>
      <c r="M341">
        <v>12266</v>
      </c>
    </row>
    <row r="342" spans="3:13" x14ac:dyDescent="0.25">
      <c r="C342" s="3">
        <v>337</v>
      </c>
      <c r="D342" s="1">
        <v>62</v>
      </c>
      <c r="E342" s="1" t="s">
        <v>3</v>
      </c>
      <c r="F342" s="1" t="s">
        <v>4</v>
      </c>
      <c r="G342" s="1" t="s">
        <v>6</v>
      </c>
      <c r="H342" s="1">
        <v>9.18</v>
      </c>
      <c r="I342" s="1">
        <v>1</v>
      </c>
      <c r="J342" s="13">
        <v>34844</v>
      </c>
      <c r="M342">
        <v>14924</v>
      </c>
    </row>
    <row r="343" spans="3:13" x14ac:dyDescent="0.25">
      <c r="C343" s="3">
        <v>338</v>
      </c>
      <c r="D343" s="1">
        <v>50</v>
      </c>
      <c r="E343" s="1" t="s">
        <v>3</v>
      </c>
      <c r="F343" s="1" t="s">
        <v>1</v>
      </c>
      <c r="G343" s="1" t="s">
        <v>7</v>
      </c>
      <c r="H343" s="1">
        <v>10.77</v>
      </c>
      <c r="I343" s="1">
        <v>1</v>
      </c>
      <c r="J343" s="13">
        <v>104798</v>
      </c>
      <c r="M343">
        <v>31595</v>
      </c>
    </row>
    <row r="344" spans="3:13" x14ac:dyDescent="0.25">
      <c r="C344" s="3">
        <v>339</v>
      </c>
      <c r="D344" s="1">
        <v>46</v>
      </c>
      <c r="E344" s="1" t="s">
        <v>0</v>
      </c>
      <c r="F344" s="1" t="s">
        <v>4</v>
      </c>
      <c r="G344" s="1" t="s">
        <v>5</v>
      </c>
      <c r="H344" s="1">
        <v>9.24</v>
      </c>
      <c r="I344" s="1">
        <v>1</v>
      </c>
      <c r="J344" s="13">
        <v>20582</v>
      </c>
      <c r="M344">
        <v>10609</v>
      </c>
    </row>
    <row r="345" spans="3:13" x14ac:dyDescent="0.25">
      <c r="C345" s="3">
        <v>340</v>
      </c>
      <c r="D345" s="1">
        <v>24</v>
      </c>
      <c r="E345" s="1" t="s">
        <v>0</v>
      </c>
      <c r="F345" s="1" t="s">
        <v>4</v>
      </c>
      <c r="G345" s="1" t="s">
        <v>2</v>
      </c>
      <c r="H345" s="1">
        <v>9.1999999999999993</v>
      </c>
      <c r="I345" s="1">
        <v>0</v>
      </c>
      <c r="J345" s="13">
        <v>47388</v>
      </c>
      <c r="M345">
        <v>34800</v>
      </c>
    </row>
    <row r="346" spans="3:13" x14ac:dyDescent="0.25">
      <c r="C346" s="3">
        <v>341</v>
      </c>
      <c r="D346" s="1">
        <v>62</v>
      </c>
      <c r="E346" s="1" t="s">
        <v>3</v>
      </c>
      <c r="F346" s="1" t="s">
        <v>4</v>
      </c>
      <c r="G346" s="1" t="s">
        <v>6</v>
      </c>
      <c r="H346" s="1">
        <v>10.01</v>
      </c>
      <c r="I346" s="1">
        <v>0</v>
      </c>
      <c r="J346" s="13">
        <v>33380</v>
      </c>
      <c r="M346">
        <v>5637</v>
      </c>
    </row>
    <row r="347" spans="3:13" x14ac:dyDescent="0.25">
      <c r="C347" s="3">
        <v>342</v>
      </c>
      <c r="D347" s="1">
        <v>60</v>
      </c>
      <c r="E347" s="1" t="s">
        <v>0</v>
      </c>
      <c r="F347" s="1" t="s">
        <v>4</v>
      </c>
      <c r="G347" s="1" t="s">
        <v>7</v>
      </c>
      <c r="H347" s="1">
        <v>9.18</v>
      </c>
      <c r="I347" s="1">
        <v>0</v>
      </c>
      <c r="J347" s="13">
        <v>33043</v>
      </c>
      <c r="M347">
        <v>14817</v>
      </c>
    </row>
    <row r="348" spans="3:13" x14ac:dyDescent="0.25">
      <c r="C348" s="3">
        <v>343</v>
      </c>
      <c r="D348" s="1">
        <v>63</v>
      </c>
      <c r="E348" s="1" t="s">
        <v>3</v>
      </c>
      <c r="F348" s="1" t="s">
        <v>4</v>
      </c>
      <c r="G348" s="1" t="s">
        <v>7</v>
      </c>
      <c r="H348" s="1">
        <v>12.26</v>
      </c>
      <c r="I348" s="1">
        <v>0</v>
      </c>
      <c r="J348" s="13">
        <v>34955</v>
      </c>
      <c r="M348">
        <v>31481</v>
      </c>
    </row>
    <row r="349" spans="3:13" x14ac:dyDescent="0.25">
      <c r="C349" s="3">
        <v>344</v>
      </c>
      <c r="D349" s="1">
        <v>49</v>
      </c>
      <c r="E349" s="1" t="s">
        <v>0</v>
      </c>
      <c r="F349" s="1" t="s">
        <v>4</v>
      </c>
      <c r="G349" s="1" t="s">
        <v>5</v>
      </c>
      <c r="H349" s="1">
        <v>13.82</v>
      </c>
      <c r="I349" s="1">
        <v>4</v>
      </c>
      <c r="J349" s="13">
        <v>27443</v>
      </c>
      <c r="M349">
        <v>7243</v>
      </c>
    </row>
    <row r="350" spans="3:13" x14ac:dyDescent="0.25">
      <c r="C350" s="3">
        <v>345</v>
      </c>
      <c r="D350" s="1">
        <v>34</v>
      </c>
      <c r="E350" s="1" t="s">
        <v>0</v>
      </c>
      <c r="F350" s="1" t="s">
        <v>4</v>
      </c>
      <c r="G350" s="1" t="s">
        <v>5</v>
      </c>
      <c r="H350" s="1">
        <v>9.75</v>
      </c>
      <c r="I350" s="1">
        <v>3</v>
      </c>
      <c r="J350" s="13">
        <v>15461</v>
      </c>
      <c r="M350">
        <v>11846</v>
      </c>
    </row>
    <row r="351" spans="3:13" x14ac:dyDescent="0.25">
      <c r="C351" s="3">
        <v>346</v>
      </c>
      <c r="D351" s="1">
        <v>33</v>
      </c>
      <c r="E351" s="1" t="s">
        <v>3</v>
      </c>
      <c r="F351" s="1" t="s">
        <v>4</v>
      </c>
      <c r="G351" s="1" t="s">
        <v>5</v>
      </c>
      <c r="H351" s="1">
        <v>11.92</v>
      </c>
      <c r="I351" s="1">
        <v>2</v>
      </c>
      <c r="J351" s="13">
        <v>12225</v>
      </c>
      <c r="M351">
        <v>2873</v>
      </c>
    </row>
    <row r="352" spans="3:13" x14ac:dyDescent="0.25">
      <c r="C352" s="3">
        <v>347</v>
      </c>
      <c r="D352" s="1">
        <v>46</v>
      </c>
      <c r="E352" s="1" t="s">
        <v>3</v>
      </c>
      <c r="F352" s="1" t="s">
        <v>4</v>
      </c>
      <c r="G352" s="1" t="s">
        <v>7</v>
      </c>
      <c r="H352" s="1">
        <v>11.12</v>
      </c>
      <c r="I352" s="1">
        <v>1</v>
      </c>
      <c r="J352" s="13">
        <v>20836</v>
      </c>
      <c r="M352">
        <v>70720</v>
      </c>
    </row>
    <row r="353" spans="3:13" x14ac:dyDescent="0.25">
      <c r="C353" s="3">
        <v>348</v>
      </c>
      <c r="D353" s="1">
        <v>36</v>
      </c>
      <c r="E353" s="1" t="s">
        <v>0</v>
      </c>
      <c r="F353" s="1" t="s">
        <v>4</v>
      </c>
      <c r="G353" s="1" t="s">
        <v>5</v>
      </c>
      <c r="H353" s="1">
        <v>9.9700000000000006</v>
      </c>
      <c r="I353" s="1">
        <v>1</v>
      </c>
      <c r="J353" s="13">
        <v>13695</v>
      </c>
      <c r="M353">
        <v>18363</v>
      </c>
    </row>
    <row r="354" spans="3:13" x14ac:dyDescent="0.25">
      <c r="C354" s="3">
        <v>349</v>
      </c>
      <c r="D354" s="1">
        <v>19</v>
      </c>
      <c r="E354" s="1" t="s">
        <v>3</v>
      </c>
      <c r="F354" s="1" t="s">
        <v>4</v>
      </c>
      <c r="G354" s="1" t="s">
        <v>6</v>
      </c>
      <c r="H354" s="1">
        <v>9.2799999999999994</v>
      </c>
      <c r="I354" s="1">
        <v>0</v>
      </c>
      <c r="J354" s="13">
        <v>4089</v>
      </c>
      <c r="M354">
        <v>31827</v>
      </c>
    </row>
    <row r="355" spans="3:13" x14ac:dyDescent="0.25">
      <c r="C355" s="3">
        <v>350</v>
      </c>
      <c r="D355" s="1">
        <v>57</v>
      </c>
      <c r="E355" s="1" t="s">
        <v>0</v>
      </c>
      <c r="F355" s="1" t="s">
        <v>4</v>
      </c>
      <c r="G355" s="1" t="s">
        <v>6</v>
      </c>
      <c r="H355" s="1">
        <v>7.73</v>
      </c>
      <c r="I355" s="1">
        <v>0</v>
      </c>
      <c r="J355" s="13">
        <v>29577</v>
      </c>
      <c r="M355">
        <v>28635</v>
      </c>
    </row>
    <row r="356" spans="3:13" x14ac:dyDescent="0.25">
      <c r="C356" s="3">
        <v>351</v>
      </c>
      <c r="D356" s="1">
        <v>50</v>
      </c>
      <c r="E356" s="1" t="s">
        <v>0</v>
      </c>
      <c r="F356" s="1" t="s">
        <v>4</v>
      </c>
      <c r="G356" s="1" t="s">
        <v>2</v>
      </c>
      <c r="H356" s="1">
        <v>8.5299999999999994</v>
      </c>
      <c r="I356" s="1">
        <v>0</v>
      </c>
      <c r="J356" s="13">
        <v>22330</v>
      </c>
      <c r="M356">
        <v>14777</v>
      </c>
    </row>
    <row r="357" spans="3:13" x14ac:dyDescent="0.25">
      <c r="C357" s="3">
        <v>352</v>
      </c>
      <c r="D357" s="1">
        <v>30</v>
      </c>
      <c r="E357" s="1" t="s">
        <v>0</v>
      </c>
      <c r="F357" s="1" t="s">
        <v>4</v>
      </c>
      <c r="G357" s="1" t="s">
        <v>2</v>
      </c>
      <c r="H357" s="1">
        <v>9.23</v>
      </c>
      <c r="I357" s="1">
        <v>0</v>
      </c>
      <c r="J357" s="13">
        <v>8886</v>
      </c>
      <c r="M357">
        <v>11906</v>
      </c>
    </row>
    <row r="358" spans="3:13" x14ac:dyDescent="0.25">
      <c r="C358" s="3">
        <v>353</v>
      </c>
      <c r="D358" s="1">
        <v>33</v>
      </c>
      <c r="E358" s="1" t="s">
        <v>3</v>
      </c>
      <c r="F358" s="1" t="s">
        <v>4</v>
      </c>
      <c r="G358" s="1" t="s">
        <v>7</v>
      </c>
      <c r="H358" s="1">
        <v>11.75</v>
      </c>
      <c r="I358" s="1">
        <v>0</v>
      </c>
      <c r="J358" s="13">
        <v>31012</v>
      </c>
      <c r="M358">
        <v>18781</v>
      </c>
    </row>
    <row r="359" spans="3:13" x14ac:dyDescent="0.25">
      <c r="C359" s="3">
        <v>354</v>
      </c>
      <c r="D359" s="1">
        <v>18</v>
      </c>
      <c r="E359" s="1" t="s">
        <v>0</v>
      </c>
      <c r="F359" s="1" t="s">
        <v>4</v>
      </c>
      <c r="G359" s="1" t="s">
        <v>5</v>
      </c>
      <c r="H359" s="1">
        <v>12.76</v>
      </c>
      <c r="I359" s="1">
        <v>0</v>
      </c>
      <c r="J359" s="13">
        <v>35333</v>
      </c>
      <c r="M359">
        <v>10081</v>
      </c>
    </row>
    <row r="360" spans="3:13" x14ac:dyDescent="0.25">
      <c r="C360" s="3">
        <v>355</v>
      </c>
      <c r="D360" s="1">
        <v>46</v>
      </c>
      <c r="E360" s="1" t="s">
        <v>3</v>
      </c>
      <c r="F360" s="1" t="s">
        <v>4</v>
      </c>
      <c r="G360" s="1" t="s">
        <v>2</v>
      </c>
      <c r="H360" s="1">
        <v>9.1999999999999993</v>
      </c>
      <c r="I360" s="1">
        <v>0</v>
      </c>
      <c r="J360" s="13">
        <v>61508</v>
      </c>
      <c r="M360">
        <v>4924</v>
      </c>
    </row>
    <row r="361" spans="3:13" x14ac:dyDescent="0.25">
      <c r="C361" s="3">
        <v>356</v>
      </c>
      <c r="D361" s="1">
        <v>46</v>
      </c>
      <c r="E361" s="1" t="s">
        <v>3</v>
      </c>
      <c r="F361" s="1" t="s">
        <v>4</v>
      </c>
      <c r="G361" s="1" t="s">
        <v>5</v>
      </c>
      <c r="H361" s="1">
        <v>14.63</v>
      </c>
      <c r="I361" s="1">
        <v>3</v>
      </c>
      <c r="J361" s="13">
        <v>22360</v>
      </c>
      <c r="M361">
        <v>4424</v>
      </c>
    </row>
    <row r="362" spans="3:13" x14ac:dyDescent="0.25">
      <c r="C362" s="3">
        <v>357</v>
      </c>
      <c r="D362" s="1">
        <v>47</v>
      </c>
      <c r="E362" s="1" t="s">
        <v>3</v>
      </c>
      <c r="F362" s="1" t="s">
        <v>4</v>
      </c>
      <c r="G362" s="1" t="s">
        <v>6</v>
      </c>
      <c r="H362" s="1">
        <v>9.94</v>
      </c>
      <c r="I362" s="1">
        <v>3</v>
      </c>
      <c r="J362" s="13">
        <v>24051</v>
      </c>
      <c r="M362">
        <v>11716</v>
      </c>
    </row>
    <row r="363" spans="3:13" x14ac:dyDescent="0.25">
      <c r="C363" s="3">
        <v>358</v>
      </c>
      <c r="D363" s="1">
        <v>23</v>
      </c>
      <c r="E363" s="1" t="s">
        <v>3</v>
      </c>
      <c r="F363" s="1" t="s">
        <v>4</v>
      </c>
      <c r="G363" s="1" t="s">
        <v>5</v>
      </c>
      <c r="H363" s="1">
        <v>13.97</v>
      </c>
      <c r="I363" s="1">
        <v>0</v>
      </c>
      <c r="J363" s="13">
        <v>4593</v>
      </c>
      <c r="M363">
        <v>54493</v>
      </c>
    </row>
    <row r="364" spans="3:13" x14ac:dyDescent="0.25">
      <c r="C364" s="3">
        <v>359</v>
      </c>
      <c r="D364" s="1">
        <v>18</v>
      </c>
      <c r="E364" s="1" t="s">
        <v>0</v>
      </c>
      <c r="F364" s="1" t="s">
        <v>4</v>
      </c>
      <c r="G364" s="1" t="s">
        <v>5</v>
      </c>
      <c r="H364" s="1">
        <v>6.93</v>
      </c>
      <c r="I364" s="1">
        <v>0</v>
      </c>
      <c r="J364" s="13">
        <v>4019</v>
      </c>
      <c r="M364">
        <v>29705</v>
      </c>
    </row>
    <row r="365" spans="3:13" x14ac:dyDescent="0.25">
      <c r="C365" s="3">
        <v>360</v>
      </c>
      <c r="D365" s="1">
        <v>48</v>
      </c>
      <c r="E365" s="1" t="s">
        <v>0</v>
      </c>
      <c r="F365" s="1" t="s">
        <v>4</v>
      </c>
      <c r="G365" s="1" t="s">
        <v>7</v>
      </c>
      <c r="H365" s="1">
        <v>10.77</v>
      </c>
      <c r="I365" s="1">
        <v>2</v>
      </c>
      <c r="J365" s="13">
        <v>25108</v>
      </c>
      <c r="M365">
        <v>29602</v>
      </c>
    </row>
    <row r="366" spans="3:13" x14ac:dyDescent="0.25">
      <c r="C366" s="3">
        <v>361</v>
      </c>
      <c r="D366" s="1">
        <v>35</v>
      </c>
      <c r="E366" s="1" t="s">
        <v>3</v>
      </c>
      <c r="F366" s="1" t="s">
        <v>4</v>
      </c>
      <c r="G366" s="1" t="s">
        <v>2</v>
      </c>
      <c r="H366" s="1">
        <v>10.17</v>
      </c>
      <c r="I366" s="1">
        <v>1</v>
      </c>
      <c r="J366" s="13">
        <v>11878</v>
      </c>
      <c r="M366">
        <v>26504</v>
      </c>
    </row>
    <row r="367" spans="3:13" x14ac:dyDescent="0.25">
      <c r="C367" s="3">
        <v>362</v>
      </c>
      <c r="D367" s="1">
        <v>19</v>
      </c>
      <c r="E367" s="1" t="s">
        <v>0</v>
      </c>
      <c r="F367" s="1" t="s">
        <v>1</v>
      </c>
      <c r="G367" s="1" t="s">
        <v>2</v>
      </c>
      <c r="H367" s="1">
        <v>7.23</v>
      </c>
      <c r="I367" s="1">
        <v>0</v>
      </c>
      <c r="J367" s="13">
        <v>34611</v>
      </c>
      <c r="M367">
        <v>19207</v>
      </c>
    </row>
    <row r="368" spans="3:13" x14ac:dyDescent="0.25">
      <c r="C368" s="3">
        <v>363</v>
      </c>
      <c r="D368" s="1">
        <v>21</v>
      </c>
      <c r="E368" s="1" t="s">
        <v>0</v>
      </c>
      <c r="F368" s="1" t="s">
        <v>4</v>
      </c>
      <c r="G368" s="1" t="s">
        <v>2</v>
      </c>
      <c r="H368" s="1">
        <v>8.8000000000000007</v>
      </c>
      <c r="I368" s="1">
        <v>1</v>
      </c>
      <c r="J368" s="13">
        <v>6494</v>
      </c>
      <c r="M368">
        <v>25954</v>
      </c>
    </row>
    <row r="369" spans="3:13" x14ac:dyDescent="0.25">
      <c r="C369" s="3">
        <v>364</v>
      </c>
      <c r="D369" s="1">
        <v>21</v>
      </c>
      <c r="E369" s="1" t="s">
        <v>0</v>
      </c>
      <c r="F369" s="1" t="s">
        <v>4</v>
      </c>
      <c r="G369" s="1" t="s">
        <v>5</v>
      </c>
      <c r="H369" s="1">
        <v>7.3</v>
      </c>
      <c r="I369" s="1">
        <v>2</v>
      </c>
      <c r="J369" s="13">
        <v>7951</v>
      </c>
      <c r="M369">
        <v>38076</v>
      </c>
    </row>
    <row r="370" spans="3:13" x14ac:dyDescent="0.25">
      <c r="C370" s="3">
        <v>365</v>
      </c>
      <c r="D370" s="1">
        <v>49</v>
      </c>
      <c r="E370" s="1" t="s">
        <v>0</v>
      </c>
      <c r="F370" s="1" t="s">
        <v>4</v>
      </c>
      <c r="G370" s="1" t="s">
        <v>7</v>
      </c>
      <c r="H370" s="1">
        <v>10.26</v>
      </c>
      <c r="I370" s="1">
        <v>1</v>
      </c>
      <c r="J370" s="13">
        <v>24446</v>
      </c>
      <c r="M370">
        <v>27914</v>
      </c>
    </row>
    <row r="371" spans="3:13" x14ac:dyDescent="0.25">
      <c r="C371" s="3">
        <v>366</v>
      </c>
      <c r="D371" s="1">
        <v>56</v>
      </c>
      <c r="E371" s="1" t="s">
        <v>0</v>
      </c>
      <c r="F371" s="1" t="s">
        <v>4</v>
      </c>
      <c r="G371" s="1" t="s">
        <v>7</v>
      </c>
      <c r="H371" s="1">
        <v>10.77</v>
      </c>
      <c r="I371" s="1">
        <v>3</v>
      </c>
      <c r="J371" s="13">
        <v>33576</v>
      </c>
      <c r="M371">
        <v>4080</v>
      </c>
    </row>
    <row r="372" spans="3:13" x14ac:dyDescent="0.25">
      <c r="C372" s="3">
        <v>367</v>
      </c>
      <c r="D372" s="1">
        <v>42</v>
      </c>
      <c r="E372" s="1" t="s">
        <v>0</v>
      </c>
      <c r="F372" s="1" t="s">
        <v>4</v>
      </c>
      <c r="G372" s="1" t="s">
        <v>6</v>
      </c>
      <c r="H372" s="1">
        <v>8.33</v>
      </c>
      <c r="I372" s="1">
        <v>2</v>
      </c>
      <c r="J372" s="13">
        <v>20043</v>
      </c>
      <c r="M372">
        <v>33062</v>
      </c>
    </row>
    <row r="373" spans="3:13" x14ac:dyDescent="0.25">
      <c r="C373" s="3">
        <v>368</v>
      </c>
      <c r="D373" s="1">
        <v>44</v>
      </c>
      <c r="E373" s="1" t="s">
        <v>3</v>
      </c>
      <c r="F373" s="1" t="s">
        <v>4</v>
      </c>
      <c r="G373" s="1" t="s">
        <v>6</v>
      </c>
      <c r="H373" s="1">
        <v>10.67</v>
      </c>
      <c r="I373" s="1">
        <v>2</v>
      </c>
      <c r="J373" s="13">
        <v>20291</v>
      </c>
      <c r="M373">
        <v>31608</v>
      </c>
    </row>
    <row r="374" spans="3:13" x14ac:dyDescent="0.25">
      <c r="C374" s="3">
        <v>369</v>
      </c>
      <c r="D374" s="1">
        <v>18</v>
      </c>
      <c r="E374" s="1" t="s">
        <v>3</v>
      </c>
      <c r="F374" s="1" t="s">
        <v>4</v>
      </c>
      <c r="G374" s="1" t="s">
        <v>7</v>
      </c>
      <c r="H374" s="1">
        <v>10.130000000000001</v>
      </c>
      <c r="I374" s="1">
        <v>3</v>
      </c>
      <c r="J374" s="13">
        <v>8705</v>
      </c>
      <c r="M374">
        <v>58222</v>
      </c>
    </row>
    <row r="375" spans="3:13" x14ac:dyDescent="0.25">
      <c r="C375" s="3">
        <v>370</v>
      </c>
      <c r="D375" s="1">
        <v>61</v>
      </c>
      <c r="E375" s="1" t="s">
        <v>0</v>
      </c>
      <c r="F375" s="1" t="s">
        <v>4</v>
      </c>
      <c r="G375" s="1" t="s">
        <v>6</v>
      </c>
      <c r="H375" s="1">
        <v>7.03</v>
      </c>
      <c r="I375" s="1">
        <v>0</v>
      </c>
      <c r="J375" s="13">
        <v>33538</v>
      </c>
      <c r="M375">
        <v>5503</v>
      </c>
    </row>
    <row r="376" spans="3:13" x14ac:dyDescent="0.25">
      <c r="C376" s="3">
        <v>371</v>
      </c>
      <c r="D376" s="1">
        <v>57</v>
      </c>
      <c r="E376" s="1" t="s">
        <v>0</v>
      </c>
      <c r="F376" s="1" t="s">
        <v>4</v>
      </c>
      <c r="G376" s="1" t="s">
        <v>7</v>
      </c>
      <c r="H376" s="1">
        <v>7.41</v>
      </c>
      <c r="I376" s="1">
        <v>0</v>
      </c>
      <c r="J376" s="13">
        <v>30073</v>
      </c>
      <c r="M376">
        <v>6243</v>
      </c>
    </row>
    <row r="377" spans="3:13" x14ac:dyDescent="0.25">
      <c r="C377" s="3">
        <v>372</v>
      </c>
      <c r="D377" s="1">
        <v>42</v>
      </c>
      <c r="E377" s="1" t="s">
        <v>0</v>
      </c>
      <c r="F377" s="1" t="s">
        <v>4</v>
      </c>
      <c r="G377" s="1" t="s">
        <v>7</v>
      </c>
      <c r="H377" s="1">
        <v>11.05</v>
      </c>
      <c r="I377" s="1">
        <v>1</v>
      </c>
      <c r="J377" s="13">
        <v>19099</v>
      </c>
      <c r="M377">
        <v>5509</v>
      </c>
    </row>
    <row r="378" spans="3:13" x14ac:dyDescent="0.25">
      <c r="C378" s="3">
        <v>373</v>
      </c>
      <c r="D378" s="1">
        <v>26</v>
      </c>
      <c r="E378" s="1" t="s">
        <v>3</v>
      </c>
      <c r="F378" s="1" t="s">
        <v>1</v>
      </c>
      <c r="G378" s="1" t="s">
        <v>2</v>
      </c>
      <c r="H378" s="1">
        <v>10.97</v>
      </c>
      <c r="I378" s="1">
        <v>2</v>
      </c>
      <c r="J378" s="13">
        <v>90213</v>
      </c>
      <c r="M378">
        <v>4361</v>
      </c>
    </row>
    <row r="379" spans="3:13" x14ac:dyDescent="0.25">
      <c r="C379" s="3">
        <v>374</v>
      </c>
      <c r="D379" s="1">
        <v>20</v>
      </c>
      <c r="E379" s="1" t="s">
        <v>3</v>
      </c>
      <c r="F379" s="1" t="s">
        <v>4</v>
      </c>
      <c r="G379" s="1" t="s">
        <v>5</v>
      </c>
      <c r="H379" s="1">
        <v>11.11</v>
      </c>
      <c r="I379" s="1">
        <v>0</v>
      </c>
      <c r="J379" s="13">
        <v>3479</v>
      </c>
      <c r="M379">
        <v>52197</v>
      </c>
    </row>
    <row r="380" spans="3:13" x14ac:dyDescent="0.25">
      <c r="C380" s="3">
        <v>375</v>
      </c>
      <c r="D380" s="1">
        <v>23</v>
      </c>
      <c r="E380" s="1" t="s">
        <v>0</v>
      </c>
      <c r="F380" s="1" t="s">
        <v>1</v>
      </c>
      <c r="G380" s="1" t="s">
        <v>6</v>
      </c>
      <c r="H380" s="1">
        <v>9.44</v>
      </c>
      <c r="I380" s="1">
        <v>0</v>
      </c>
      <c r="J380" s="13">
        <v>45085</v>
      </c>
      <c r="M380">
        <v>6336</v>
      </c>
    </row>
    <row r="381" spans="3:13" x14ac:dyDescent="0.25">
      <c r="C381" s="3">
        <v>376</v>
      </c>
      <c r="D381" s="1">
        <v>39</v>
      </c>
      <c r="E381" s="1" t="s">
        <v>0</v>
      </c>
      <c r="F381" s="1" t="s">
        <v>1</v>
      </c>
      <c r="G381" s="1" t="s">
        <v>7</v>
      </c>
      <c r="H381" s="1">
        <v>8.3000000000000007</v>
      </c>
      <c r="I381" s="1">
        <v>3</v>
      </c>
      <c r="J381" s="13">
        <v>54150</v>
      </c>
      <c r="M381">
        <v>3836</v>
      </c>
    </row>
    <row r="382" spans="3:13" x14ac:dyDescent="0.25">
      <c r="C382" s="3">
        <v>377</v>
      </c>
      <c r="D382" s="1">
        <v>24</v>
      </c>
      <c r="E382" s="1" t="s">
        <v>3</v>
      </c>
      <c r="F382" s="1" t="s">
        <v>1</v>
      </c>
      <c r="G382" s="1" t="s">
        <v>5</v>
      </c>
      <c r="H382" s="1">
        <v>13.38</v>
      </c>
      <c r="I382" s="1">
        <v>0</v>
      </c>
      <c r="J382" s="13">
        <v>95316</v>
      </c>
      <c r="M382">
        <v>4561</v>
      </c>
    </row>
    <row r="383" spans="3:13" x14ac:dyDescent="0.25">
      <c r="C383" s="3">
        <v>378</v>
      </c>
      <c r="D383" s="1">
        <v>64</v>
      </c>
      <c r="E383" s="1" t="s">
        <v>0</v>
      </c>
      <c r="F383" s="1" t="s">
        <v>4</v>
      </c>
      <c r="G383" s="1" t="s">
        <v>6</v>
      </c>
      <c r="H383" s="1">
        <v>10.039999999999999</v>
      </c>
      <c r="I383" s="1">
        <v>3</v>
      </c>
      <c r="J383" s="13">
        <v>41139</v>
      </c>
      <c r="M383">
        <v>38888</v>
      </c>
    </row>
    <row r="384" spans="3:13" x14ac:dyDescent="0.25">
      <c r="C384" s="3">
        <v>379</v>
      </c>
      <c r="D384" s="1">
        <v>62</v>
      </c>
      <c r="E384" s="1" t="s">
        <v>3</v>
      </c>
      <c r="F384" s="1" t="s">
        <v>4</v>
      </c>
      <c r="G384" s="1" t="s">
        <v>5</v>
      </c>
      <c r="H384" s="1">
        <v>10.49</v>
      </c>
      <c r="I384" s="1">
        <v>1</v>
      </c>
      <c r="J384" s="13">
        <v>67502</v>
      </c>
      <c r="M384">
        <v>23262</v>
      </c>
    </row>
    <row r="385" spans="3:13" x14ac:dyDescent="0.25">
      <c r="C385" s="3">
        <v>380</v>
      </c>
      <c r="D385" s="1">
        <v>27</v>
      </c>
      <c r="E385" s="1" t="s">
        <v>0</v>
      </c>
      <c r="F385" s="1" t="s">
        <v>1</v>
      </c>
      <c r="G385" s="1" t="s">
        <v>7</v>
      </c>
      <c r="H385" s="1">
        <v>5.98</v>
      </c>
      <c r="I385" s="1">
        <v>2</v>
      </c>
      <c r="J385" s="13">
        <v>37516</v>
      </c>
      <c r="M385">
        <v>4055</v>
      </c>
    </row>
    <row r="386" spans="3:13" x14ac:dyDescent="0.25">
      <c r="C386" s="3">
        <v>381</v>
      </c>
      <c r="D386" s="1">
        <v>55</v>
      </c>
      <c r="E386" s="1" t="s">
        <v>3</v>
      </c>
      <c r="F386" s="1" t="s">
        <v>1</v>
      </c>
      <c r="G386" s="1" t="s">
        <v>7</v>
      </c>
      <c r="H386" s="1">
        <v>10.23</v>
      </c>
      <c r="I386" s="1">
        <v>0</v>
      </c>
      <c r="J386" s="13">
        <v>105759</v>
      </c>
      <c r="M386">
        <v>24700</v>
      </c>
    </row>
    <row r="387" spans="3:13" x14ac:dyDescent="0.25">
      <c r="C387" s="3">
        <v>382</v>
      </c>
      <c r="D387" s="1">
        <v>55</v>
      </c>
      <c r="E387" s="1" t="s">
        <v>3</v>
      </c>
      <c r="F387" s="1" t="s">
        <v>4</v>
      </c>
      <c r="G387" s="1" t="s">
        <v>5</v>
      </c>
      <c r="H387" s="1">
        <v>11</v>
      </c>
      <c r="I387" s="1">
        <v>0</v>
      </c>
      <c r="J387" s="13">
        <v>51954</v>
      </c>
      <c r="M387">
        <v>23908</v>
      </c>
    </row>
    <row r="388" spans="3:13" x14ac:dyDescent="0.25">
      <c r="C388" s="3">
        <v>383</v>
      </c>
      <c r="D388" s="1">
        <v>35</v>
      </c>
      <c r="E388" s="1" t="s">
        <v>0</v>
      </c>
      <c r="F388" s="1" t="s">
        <v>4</v>
      </c>
      <c r="G388" s="1" t="s">
        <v>5</v>
      </c>
      <c r="H388" s="1">
        <v>14.45</v>
      </c>
      <c r="I388" s="1">
        <v>2</v>
      </c>
      <c r="J388" s="13">
        <v>14617</v>
      </c>
      <c r="M388">
        <v>10868</v>
      </c>
    </row>
    <row r="389" spans="3:13" x14ac:dyDescent="0.25">
      <c r="C389" s="3">
        <v>384</v>
      </c>
      <c r="D389" s="1">
        <v>44</v>
      </c>
      <c r="E389" s="1" t="s">
        <v>3</v>
      </c>
      <c r="F389" s="1" t="s">
        <v>4</v>
      </c>
      <c r="G389" s="1" t="s">
        <v>7</v>
      </c>
      <c r="H389" s="1">
        <v>7.38</v>
      </c>
      <c r="I389" s="1">
        <v>2</v>
      </c>
      <c r="J389" s="13">
        <v>20756</v>
      </c>
      <c r="M389">
        <v>31188</v>
      </c>
    </row>
    <row r="390" spans="3:13" x14ac:dyDescent="0.25">
      <c r="C390" s="3">
        <v>385</v>
      </c>
      <c r="D390" s="1">
        <v>19</v>
      </c>
      <c r="E390" s="1" t="s">
        <v>3</v>
      </c>
      <c r="F390" s="1" t="s">
        <v>4</v>
      </c>
      <c r="G390" s="1" t="s">
        <v>2</v>
      </c>
      <c r="H390" s="1">
        <v>11.47</v>
      </c>
      <c r="I390" s="1">
        <v>0</v>
      </c>
      <c r="J390" s="13">
        <v>3155</v>
      </c>
      <c r="M390">
        <v>3135</v>
      </c>
    </row>
    <row r="391" spans="3:13" x14ac:dyDescent="0.25">
      <c r="C391" s="3">
        <v>386</v>
      </c>
      <c r="D391" s="1">
        <v>58</v>
      </c>
      <c r="E391" s="1" t="s">
        <v>0</v>
      </c>
      <c r="F391" s="1" t="s">
        <v>4</v>
      </c>
      <c r="G391" s="1" t="s">
        <v>5</v>
      </c>
      <c r="H391" s="1">
        <v>13.02</v>
      </c>
      <c r="I391" s="1">
        <v>0</v>
      </c>
      <c r="J391" s="13">
        <v>29641</v>
      </c>
      <c r="M391">
        <v>26155</v>
      </c>
    </row>
    <row r="392" spans="3:13" x14ac:dyDescent="0.25">
      <c r="C392" s="3">
        <v>387</v>
      </c>
      <c r="D392" s="1">
        <v>50</v>
      </c>
      <c r="E392" s="1" t="s">
        <v>3</v>
      </c>
      <c r="F392" s="1" t="s">
        <v>4</v>
      </c>
      <c r="G392" s="1" t="s">
        <v>6</v>
      </c>
      <c r="H392" s="1">
        <v>8.4600000000000009</v>
      </c>
      <c r="I392" s="1">
        <v>2</v>
      </c>
      <c r="J392" s="13">
        <v>75712</v>
      </c>
      <c r="M392">
        <v>4372</v>
      </c>
    </row>
    <row r="393" spans="3:13" x14ac:dyDescent="0.25">
      <c r="C393" s="3">
        <v>388</v>
      </c>
      <c r="D393" s="1">
        <v>26</v>
      </c>
      <c r="E393" s="1" t="s">
        <v>0</v>
      </c>
      <c r="F393" s="1" t="s">
        <v>4</v>
      </c>
      <c r="G393" s="1" t="s">
        <v>6</v>
      </c>
      <c r="H393" s="1">
        <v>7.54</v>
      </c>
      <c r="I393" s="1">
        <v>0</v>
      </c>
      <c r="J393" s="13">
        <v>7942</v>
      </c>
      <c r="M393">
        <v>61283</v>
      </c>
    </row>
    <row r="394" spans="3:13" x14ac:dyDescent="0.25">
      <c r="C394" s="3">
        <v>389</v>
      </c>
      <c r="D394" s="1">
        <v>24</v>
      </c>
      <c r="E394" s="1" t="s">
        <v>0</v>
      </c>
      <c r="F394" s="1" t="s">
        <v>4</v>
      </c>
      <c r="G394" s="1" t="s">
        <v>6</v>
      </c>
      <c r="H394" s="1">
        <v>10.07</v>
      </c>
      <c r="I394" s="1">
        <v>3</v>
      </c>
      <c r="J394" s="13">
        <v>11545</v>
      </c>
      <c r="M394">
        <v>5491</v>
      </c>
    </row>
    <row r="395" spans="3:13" x14ac:dyDescent="0.25">
      <c r="C395" s="3">
        <v>390</v>
      </c>
      <c r="D395" s="1">
        <v>48</v>
      </c>
      <c r="E395" s="1" t="s">
        <v>3</v>
      </c>
      <c r="F395" s="1" t="s">
        <v>4</v>
      </c>
      <c r="G395" s="1" t="s">
        <v>7</v>
      </c>
      <c r="H395" s="1">
        <v>11.88</v>
      </c>
      <c r="I395" s="1">
        <v>4</v>
      </c>
      <c r="J395" s="13">
        <v>26842</v>
      </c>
      <c r="M395">
        <v>31435</v>
      </c>
    </row>
    <row r="396" spans="3:13" x14ac:dyDescent="0.25">
      <c r="C396" s="3">
        <v>391</v>
      </c>
      <c r="D396" s="1">
        <v>19</v>
      </c>
      <c r="E396" s="1" t="s">
        <v>0</v>
      </c>
      <c r="F396" s="1" t="s">
        <v>4</v>
      </c>
      <c r="G396" s="1" t="s">
        <v>6</v>
      </c>
      <c r="H396" s="1">
        <v>12.48</v>
      </c>
      <c r="I396" s="1">
        <v>0</v>
      </c>
      <c r="J396" s="13">
        <v>5345</v>
      </c>
      <c r="M396">
        <v>4918</v>
      </c>
    </row>
    <row r="397" spans="3:13" x14ac:dyDescent="0.25">
      <c r="C397" s="3">
        <v>392</v>
      </c>
      <c r="D397" s="1">
        <v>48</v>
      </c>
      <c r="E397" s="1" t="s">
        <v>3</v>
      </c>
      <c r="F397" s="1" t="s">
        <v>4</v>
      </c>
      <c r="G397" s="1" t="s">
        <v>7</v>
      </c>
      <c r="H397" s="1">
        <v>10.48</v>
      </c>
      <c r="I397" s="1">
        <v>1</v>
      </c>
      <c r="J397" s="13">
        <v>22410</v>
      </c>
      <c r="M397">
        <v>12329</v>
      </c>
    </row>
    <row r="398" spans="3:13" x14ac:dyDescent="0.25">
      <c r="C398" s="3">
        <v>393</v>
      </c>
      <c r="D398" s="1">
        <v>49</v>
      </c>
      <c r="E398" s="1" t="s">
        <v>3</v>
      </c>
      <c r="F398" s="1" t="s">
        <v>4</v>
      </c>
      <c r="G398" s="1" t="s">
        <v>7</v>
      </c>
      <c r="H398" s="1">
        <v>10.45</v>
      </c>
      <c r="I398" s="1">
        <v>1</v>
      </c>
      <c r="J398" s="13">
        <v>23225</v>
      </c>
      <c r="M398">
        <v>20070</v>
      </c>
    </row>
    <row r="399" spans="3:13" x14ac:dyDescent="0.25">
      <c r="C399" s="3">
        <v>394</v>
      </c>
      <c r="D399" s="1">
        <v>46</v>
      </c>
      <c r="E399" s="1" t="s">
        <v>0</v>
      </c>
      <c r="F399" s="1" t="s">
        <v>4</v>
      </c>
      <c r="G399" s="1" t="s">
        <v>7</v>
      </c>
      <c r="H399" s="1">
        <v>10.77</v>
      </c>
      <c r="I399" s="1">
        <v>2</v>
      </c>
      <c r="J399" s="13">
        <v>23528</v>
      </c>
      <c r="M399">
        <v>20528</v>
      </c>
    </row>
    <row r="400" spans="3:13" x14ac:dyDescent="0.25">
      <c r="C400" s="3">
        <v>395</v>
      </c>
      <c r="D400" s="1">
        <v>46</v>
      </c>
      <c r="E400" s="1" t="s">
        <v>3</v>
      </c>
      <c r="F400" s="1" t="s">
        <v>4</v>
      </c>
      <c r="G400" s="1" t="s">
        <v>6</v>
      </c>
      <c r="H400" s="1">
        <v>6.62</v>
      </c>
      <c r="I400" s="1">
        <v>0</v>
      </c>
      <c r="J400" s="13">
        <v>18817</v>
      </c>
      <c r="M400">
        <v>33677</v>
      </c>
    </row>
    <row r="401" spans="3:13" x14ac:dyDescent="0.25">
      <c r="C401" s="3">
        <v>396</v>
      </c>
      <c r="D401" s="1">
        <v>43</v>
      </c>
      <c r="E401" s="1" t="s">
        <v>0</v>
      </c>
      <c r="F401" s="1" t="s">
        <v>4</v>
      </c>
      <c r="G401" s="1" t="s">
        <v>2</v>
      </c>
      <c r="H401" s="1">
        <v>11.47</v>
      </c>
      <c r="I401" s="1">
        <v>3</v>
      </c>
      <c r="J401" s="13">
        <v>21305</v>
      </c>
      <c r="M401">
        <v>17093</v>
      </c>
    </row>
    <row r="402" spans="3:13" x14ac:dyDescent="0.25">
      <c r="C402" s="3">
        <v>397</v>
      </c>
      <c r="D402" s="1">
        <v>21</v>
      </c>
      <c r="E402" s="1" t="s">
        <v>3</v>
      </c>
      <c r="F402" s="1" t="s">
        <v>4</v>
      </c>
      <c r="G402" s="1" t="s">
        <v>5</v>
      </c>
      <c r="H402" s="1">
        <v>10.34</v>
      </c>
      <c r="I402" s="1">
        <v>0</v>
      </c>
      <c r="J402" s="13">
        <v>41466</v>
      </c>
      <c r="M402">
        <v>14936</v>
      </c>
    </row>
    <row r="403" spans="3:13" x14ac:dyDescent="0.25">
      <c r="C403" s="3">
        <v>398</v>
      </c>
      <c r="D403" s="1">
        <v>64</v>
      </c>
      <c r="E403" s="1" t="s">
        <v>3</v>
      </c>
      <c r="F403" s="1" t="s">
        <v>4</v>
      </c>
      <c r="G403" s="1" t="s">
        <v>2</v>
      </c>
      <c r="H403" s="1">
        <v>8.5299999999999994</v>
      </c>
      <c r="I403" s="1">
        <v>2</v>
      </c>
      <c r="J403" s="13">
        <v>37471</v>
      </c>
      <c r="M403">
        <v>16992</v>
      </c>
    </row>
    <row r="404" spans="3:13" x14ac:dyDescent="0.25">
      <c r="C404" s="3">
        <v>399</v>
      </c>
      <c r="D404" s="1">
        <v>18</v>
      </c>
      <c r="E404" s="1" t="s">
        <v>0</v>
      </c>
      <c r="F404" s="1" t="s">
        <v>4</v>
      </c>
      <c r="G404" s="1" t="s">
        <v>5</v>
      </c>
      <c r="H404" s="1">
        <v>12.72</v>
      </c>
      <c r="I404" s="1">
        <v>0</v>
      </c>
      <c r="J404" s="13">
        <v>4079</v>
      </c>
      <c r="M404">
        <v>6608</v>
      </c>
    </row>
    <row r="405" spans="3:13" x14ac:dyDescent="0.25">
      <c r="C405" s="3">
        <v>400</v>
      </c>
      <c r="D405" s="1">
        <v>51</v>
      </c>
      <c r="E405" s="1" t="s">
        <v>0</v>
      </c>
      <c r="F405" s="1" t="s">
        <v>4</v>
      </c>
      <c r="G405" s="1" t="s">
        <v>2</v>
      </c>
      <c r="H405" s="1">
        <v>6.87</v>
      </c>
      <c r="I405" s="1">
        <v>0</v>
      </c>
      <c r="J405" s="13">
        <v>23162</v>
      </c>
      <c r="M405">
        <v>7693</v>
      </c>
    </row>
    <row r="406" spans="3:13" x14ac:dyDescent="0.25">
      <c r="C406" s="3">
        <v>401</v>
      </c>
      <c r="D406" s="1">
        <v>47</v>
      </c>
      <c r="E406" s="1" t="s">
        <v>3</v>
      </c>
      <c r="F406" s="1" t="s">
        <v>4</v>
      </c>
      <c r="G406" s="1" t="s">
        <v>5</v>
      </c>
      <c r="H406" s="1">
        <v>15.84</v>
      </c>
      <c r="I406" s="1">
        <v>1</v>
      </c>
      <c r="J406" s="13">
        <v>20210</v>
      </c>
      <c r="M406">
        <v>7611</v>
      </c>
    </row>
    <row r="407" spans="3:13" x14ac:dyDescent="0.25">
      <c r="C407" s="3">
        <v>402</v>
      </c>
      <c r="D407" s="1">
        <v>64</v>
      </c>
      <c r="E407" s="1" t="s">
        <v>0</v>
      </c>
      <c r="F407" s="1" t="s">
        <v>4</v>
      </c>
      <c r="G407" s="1" t="s">
        <v>6</v>
      </c>
      <c r="H407" s="1">
        <v>10.99</v>
      </c>
      <c r="I407" s="1">
        <v>0</v>
      </c>
      <c r="J407" s="13">
        <v>36732</v>
      </c>
      <c r="M407">
        <v>28638</v>
      </c>
    </row>
    <row r="408" spans="3:13" x14ac:dyDescent="0.25">
      <c r="C408" s="3">
        <v>403</v>
      </c>
      <c r="D408" s="1">
        <v>49</v>
      </c>
      <c r="E408" s="1" t="s">
        <v>3</v>
      </c>
      <c r="F408" s="1" t="s">
        <v>4</v>
      </c>
      <c r="G408" s="1" t="s">
        <v>6</v>
      </c>
      <c r="H408" s="1">
        <v>10.77</v>
      </c>
      <c r="I408" s="1">
        <v>3</v>
      </c>
      <c r="J408" s="13">
        <v>25674</v>
      </c>
      <c r="M408">
        <v>29408</v>
      </c>
    </row>
    <row r="409" spans="3:13" x14ac:dyDescent="0.25">
      <c r="C409" s="3">
        <v>404</v>
      </c>
      <c r="D409" s="1">
        <v>31</v>
      </c>
      <c r="E409" s="1" t="s">
        <v>3</v>
      </c>
      <c r="F409" s="1" t="s">
        <v>4</v>
      </c>
      <c r="G409" s="1" t="s">
        <v>2</v>
      </c>
      <c r="H409" s="1">
        <v>6.8</v>
      </c>
      <c r="I409" s="1">
        <v>0</v>
      </c>
      <c r="J409" s="13">
        <v>8150</v>
      </c>
      <c r="M409">
        <v>6246</v>
      </c>
    </row>
    <row r="410" spans="3:13" x14ac:dyDescent="0.25">
      <c r="C410" s="3">
        <v>405</v>
      </c>
      <c r="D410" s="1">
        <v>52</v>
      </c>
      <c r="E410" s="1" t="s">
        <v>0</v>
      </c>
      <c r="F410" s="1" t="s">
        <v>4</v>
      </c>
      <c r="G410" s="1" t="s">
        <v>7</v>
      </c>
      <c r="H410" s="1">
        <v>12.79</v>
      </c>
      <c r="I410" s="1">
        <v>2</v>
      </c>
      <c r="J410" s="13">
        <v>28492</v>
      </c>
      <c r="M410">
        <v>23403</v>
      </c>
    </row>
    <row r="411" spans="3:13" x14ac:dyDescent="0.25">
      <c r="C411" s="3">
        <v>406</v>
      </c>
      <c r="D411" s="1">
        <v>33</v>
      </c>
      <c r="E411" s="1" t="s">
        <v>0</v>
      </c>
      <c r="F411" s="1" t="s">
        <v>4</v>
      </c>
      <c r="G411" s="1" t="s">
        <v>5</v>
      </c>
      <c r="H411" s="1">
        <v>8.1</v>
      </c>
      <c r="I411" s="1">
        <v>0</v>
      </c>
      <c r="J411" s="13">
        <v>10463</v>
      </c>
      <c r="M411">
        <v>3141</v>
      </c>
    </row>
    <row r="412" spans="3:13" x14ac:dyDescent="0.25">
      <c r="C412" s="3">
        <v>407</v>
      </c>
      <c r="D412" s="1">
        <v>47</v>
      </c>
      <c r="E412" s="1" t="s">
        <v>0</v>
      </c>
      <c r="F412" s="1" t="s">
        <v>4</v>
      </c>
      <c r="G412" s="1" t="s">
        <v>2</v>
      </c>
      <c r="H412" s="1">
        <v>7.87</v>
      </c>
      <c r="I412" s="1">
        <v>1</v>
      </c>
      <c r="J412" s="13">
        <v>21349</v>
      </c>
      <c r="M412">
        <v>28407</v>
      </c>
    </row>
    <row r="413" spans="3:13" x14ac:dyDescent="0.25">
      <c r="C413" s="3">
        <v>408</v>
      </c>
      <c r="D413" s="1">
        <v>38</v>
      </c>
      <c r="E413" s="1" t="s">
        <v>3</v>
      </c>
      <c r="F413" s="1" t="s">
        <v>4</v>
      </c>
      <c r="G413" s="1" t="s">
        <v>5</v>
      </c>
      <c r="H413" s="1">
        <v>7.04</v>
      </c>
      <c r="I413" s="1">
        <v>3</v>
      </c>
      <c r="J413" s="13">
        <v>16631</v>
      </c>
      <c r="M413">
        <v>69311</v>
      </c>
    </row>
    <row r="414" spans="3:13" x14ac:dyDescent="0.25">
      <c r="C414" s="3">
        <v>409</v>
      </c>
      <c r="D414" s="1">
        <v>32</v>
      </c>
      <c r="E414" s="1" t="s">
        <v>3</v>
      </c>
      <c r="F414" s="1" t="s">
        <v>4</v>
      </c>
      <c r="G414" s="1" t="s">
        <v>5</v>
      </c>
      <c r="H414" s="1">
        <v>10.01</v>
      </c>
      <c r="I414" s="1">
        <v>1</v>
      </c>
      <c r="J414" s="13">
        <v>10186</v>
      </c>
      <c r="M414">
        <v>21034</v>
      </c>
    </row>
    <row r="415" spans="3:13" x14ac:dyDescent="0.25">
      <c r="C415" s="3">
        <v>410</v>
      </c>
      <c r="D415" s="1">
        <v>19</v>
      </c>
      <c r="E415" s="1" t="s">
        <v>3</v>
      </c>
      <c r="F415" s="1" t="s">
        <v>4</v>
      </c>
      <c r="G415" s="1" t="s">
        <v>6</v>
      </c>
      <c r="H415" s="1">
        <v>5.83</v>
      </c>
      <c r="I415" s="1">
        <v>0</v>
      </c>
      <c r="J415" s="13">
        <v>4053</v>
      </c>
      <c r="M415">
        <v>13102</v>
      </c>
    </row>
    <row r="416" spans="3:13" x14ac:dyDescent="0.25">
      <c r="C416" s="3">
        <v>411</v>
      </c>
      <c r="D416" s="1">
        <v>44</v>
      </c>
      <c r="E416" s="1" t="s">
        <v>0</v>
      </c>
      <c r="F416" s="1" t="s">
        <v>1</v>
      </c>
      <c r="G416" s="1" t="s">
        <v>7</v>
      </c>
      <c r="H416" s="1">
        <v>6.74</v>
      </c>
      <c r="I416" s="1">
        <v>1</v>
      </c>
      <c r="J416" s="13">
        <v>48987</v>
      </c>
      <c r="M416">
        <v>9644</v>
      </c>
    </row>
    <row r="417" spans="3:13" x14ac:dyDescent="0.25">
      <c r="C417" s="3">
        <v>412</v>
      </c>
      <c r="D417" s="1">
        <v>26</v>
      </c>
      <c r="E417" s="1" t="s">
        <v>0</v>
      </c>
      <c r="F417" s="1" t="s">
        <v>1</v>
      </c>
      <c r="G417" s="1" t="s">
        <v>7</v>
      </c>
      <c r="H417" s="1">
        <v>5.73</v>
      </c>
      <c r="I417" s="1">
        <v>2</v>
      </c>
      <c r="J417" s="13">
        <v>36139</v>
      </c>
      <c r="M417">
        <v>64141</v>
      </c>
    </row>
    <row r="418" spans="3:13" x14ac:dyDescent="0.25">
      <c r="C418" s="3">
        <v>413</v>
      </c>
      <c r="D418" s="1">
        <v>25</v>
      </c>
      <c r="E418" s="1" t="s">
        <v>3</v>
      </c>
      <c r="F418" s="1" t="s">
        <v>4</v>
      </c>
      <c r="G418" s="1" t="s">
        <v>2</v>
      </c>
      <c r="H418" s="1">
        <v>7.97</v>
      </c>
      <c r="I418" s="1">
        <v>5</v>
      </c>
      <c r="J418" s="13">
        <v>12700</v>
      </c>
      <c r="M418">
        <v>9985</v>
      </c>
    </row>
    <row r="419" spans="3:13" x14ac:dyDescent="0.25">
      <c r="C419" s="3">
        <v>414</v>
      </c>
      <c r="D419" s="1">
        <v>19</v>
      </c>
      <c r="E419" s="1" t="s">
        <v>0</v>
      </c>
      <c r="F419" s="1" t="s">
        <v>4</v>
      </c>
      <c r="G419" s="1" t="s">
        <v>6</v>
      </c>
      <c r="H419" s="1">
        <v>11.72</v>
      </c>
      <c r="I419" s="1">
        <v>0</v>
      </c>
      <c r="J419" s="13">
        <v>5337</v>
      </c>
      <c r="M419">
        <v>24666</v>
      </c>
    </row>
    <row r="420" spans="3:13" x14ac:dyDescent="0.25">
      <c r="C420" s="3">
        <v>415</v>
      </c>
      <c r="D420" s="1">
        <v>43</v>
      </c>
      <c r="E420" s="1" t="s">
        <v>0</v>
      </c>
      <c r="F420" s="1" t="s">
        <v>4</v>
      </c>
      <c r="G420" s="1" t="s">
        <v>5</v>
      </c>
      <c r="H420" s="1">
        <v>11.88</v>
      </c>
      <c r="I420" s="1">
        <v>1</v>
      </c>
      <c r="J420" s="13">
        <v>18364</v>
      </c>
      <c r="M420">
        <v>13494</v>
      </c>
    </row>
    <row r="421" spans="3:13" x14ac:dyDescent="0.25">
      <c r="C421" s="3">
        <v>416</v>
      </c>
      <c r="D421" s="1">
        <v>52</v>
      </c>
      <c r="E421" s="1" t="s">
        <v>3</v>
      </c>
      <c r="F421" s="1" t="s">
        <v>4</v>
      </c>
      <c r="G421" s="1" t="s">
        <v>5</v>
      </c>
      <c r="H421" s="1">
        <v>11.37</v>
      </c>
      <c r="I421" s="1">
        <v>0</v>
      </c>
      <c r="J421" s="13">
        <v>22852</v>
      </c>
      <c r="M421">
        <v>28707</v>
      </c>
    </row>
    <row r="422" spans="3:13" x14ac:dyDescent="0.25">
      <c r="C422" s="3">
        <v>417</v>
      </c>
      <c r="D422" s="1">
        <v>36</v>
      </c>
      <c r="E422" s="1" t="s">
        <v>0</v>
      </c>
      <c r="F422" s="1" t="s">
        <v>1</v>
      </c>
      <c r="G422" s="1" t="s">
        <v>2</v>
      </c>
      <c r="H422" s="1">
        <v>7.53</v>
      </c>
      <c r="I422" s="1">
        <v>2</v>
      </c>
      <c r="J422" s="13">
        <v>46521</v>
      </c>
      <c r="M422">
        <v>60149</v>
      </c>
    </row>
    <row r="423" spans="3:13" x14ac:dyDescent="0.25">
      <c r="C423" s="3">
        <v>418</v>
      </c>
      <c r="D423" s="1">
        <v>64</v>
      </c>
      <c r="E423" s="1" t="s">
        <v>3</v>
      </c>
      <c r="F423" s="1" t="s">
        <v>4</v>
      </c>
      <c r="G423" s="1" t="s">
        <v>5</v>
      </c>
      <c r="H423" s="1">
        <v>13.05</v>
      </c>
      <c r="I423" s="1">
        <v>1</v>
      </c>
      <c r="J423" s="13">
        <v>36046</v>
      </c>
      <c r="M423">
        <v>24653</v>
      </c>
    </row>
    <row r="424" spans="3:13" x14ac:dyDescent="0.25">
      <c r="C424" s="3">
        <v>419</v>
      </c>
      <c r="D424" s="1">
        <v>63</v>
      </c>
      <c r="E424" s="1" t="s">
        <v>0</v>
      </c>
      <c r="F424" s="1" t="s">
        <v>1</v>
      </c>
      <c r="G424" s="1" t="s">
        <v>6</v>
      </c>
      <c r="H424" s="1">
        <v>8.99</v>
      </c>
      <c r="I424" s="1">
        <v>0</v>
      </c>
      <c r="J424" s="13">
        <v>72376</v>
      </c>
      <c r="M424">
        <v>20857</v>
      </c>
    </row>
    <row r="425" spans="3:13" x14ac:dyDescent="0.25">
      <c r="C425" s="3">
        <v>420</v>
      </c>
      <c r="D425" s="1">
        <v>64</v>
      </c>
      <c r="E425" s="1" t="s">
        <v>3</v>
      </c>
      <c r="F425" s="1" t="s">
        <v>1</v>
      </c>
      <c r="G425" s="1" t="s">
        <v>5</v>
      </c>
      <c r="H425" s="1">
        <v>11.29</v>
      </c>
      <c r="I425" s="1">
        <v>0</v>
      </c>
      <c r="J425" s="13">
        <v>117223</v>
      </c>
      <c r="M425">
        <v>4270</v>
      </c>
    </row>
    <row r="426" spans="3:13" x14ac:dyDescent="0.25">
      <c r="C426" s="3">
        <v>421</v>
      </c>
      <c r="D426" s="1">
        <v>61</v>
      </c>
      <c r="E426" s="1" t="s">
        <v>3</v>
      </c>
      <c r="F426" s="1" t="s">
        <v>1</v>
      </c>
      <c r="G426" s="1" t="s">
        <v>5</v>
      </c>
      <c r="H426" s="1">
        <v>11.95</v>
      </c>
      <c r="I426" s="1">
        <v>0</v>
      </c>
      <c r="J426" s="13">
        <v>116498</v>
      </c>
      <c r="M426">
        <v>35109</v>
      </c>
    </row>
    <row r="427" spans="3:13" x14ac:dyDescent="0.25">
      <c r="C427" s="3">
        <v>422</v>
      </c>
      <c r="D427" s="1">
        <v>40</v>
      </c>
      <c r="E427" s="1" t="s">
        <v>3</v>
      </c>
      <c r="F427" s="1" t="s">
        <v>1</v>
      </c>
      <c r="G427" s="1" t="s">
        <v>7</v>
      </c>
      <c r="H427" s="1">
        <v>10.92</v>
      </c>
      <c r="I427" s="1">
        <v>1</v>
      </c>
      <c r="J427" s="13">
        <v>97813</v>
      </c>
      <c r="M427">
        <v>32315</v>
      </c>
    </row>
    <row r="428" spans="3:13" x14ac:dyDescent="0.25">
      <c r="C428" s="3">
        <v>423</v>
      </c>
      <c r="D428" s="1">
        <v>25</v>
      </c>
      <c r="E428" s="1" t="s">
        <v>3</v>
      </c>
      <c r="F428" s="1" t="s">
        <v>4</v>
      </c>
      <c r="G428" s="1" t="s">
        <v>7</v>
      </c>
      <c r="H428" s="1">
        <v>10.199999999999999</v>
      </c>
      <c r="I428" s="1">
        <v>0</v>
      </c>
      <c r="J428" s="13">
        <v>6818</v>
      </c>
      <c r="M428">
        <v>48037</v>
      </c>
    </row>
    <row r="429" spans="3:13" x14ac:dyDescent="0.25">
      <c r="C429" s="3">
        <v>424</v>
      </c>
      <c r="D429" s="1">
        <v>48</v>
      </c>
      <c r="E429" s="1" t="s">
        <v>3</v>
      </c>
      <c r="F429" s="1" t="s">
        <v>4</v>
      </c>
      <c r="G429" s="1" t="s">
        <v>2</v>
      </c>
      <c r="H429" s="1">
        <v>10.07</v>
      </c>
      <c r="I429" s="1">
        <v>2</v>
      </c>
      <c r="J429" s="13">
        <v>22421</v>
      </c>
      <c r="M429">
        <v>34578</v>
      </c>
    </row>
    <row r="430" spans="3:13" x14ac:dyDescent="0.25">
      <c r="C430" s="3">
        <v>425</v>
      </c>
      <c r="D430" s="1">
        <v>45</v>
      </c>
      <c r="E430" s="1" t="s">
        <v>3</v>
      </c>
      <c r="F430" s="1" t="s">
        <v>4</v>
      </c>
      <c r="G430" s="1" t="s">
        <v>5</v>
      </c>
      <c r="H430" s="1">
        <v>8.1</v>
      </c>
      <c r="I430" s="1">
        <v>5</v>
      </c>
      <c r="J430" s="13">
        <v>24472</v>
      </c>
      <c r="M430">
        <v>15168</v>
      </c>
    </row>
    <row r="431" spans="3:13" x14ac:dyDescent="0.25">
      <c r="C431" s="3">
        <v>426</v>
      </c>
      <c r="D431" s="1">
        <v>38</v>
      </c>
      <c r="E431" s="1" t="s">
        <v>0</v>
      </c>
      <c r="F431" s="1" t="s">
        <v>4</v>
      </c>
      <c r="G431" s="1" t="s">
        <v>7</v>
      </c>
      <c r="H431" s="1">
        <v>9.09</v>
      </c>
      <c r="I431" s="1">
        <v>1</v>
      </c>
      <c r="J431" s="13">
        <v>16388</v>
      </c>
      <c r="M431">
        <v>14931</v>
      </c>
    </row>
    <row r="432" spans="3:13" x14ac:dyDescent="0.25">
      <c r="C432" s="3">
        <v>427</v>
      </c>
      <c r="D432" s="1">
        <v>18</v>
      </c>
      <c r="E432" s="1" t="s">
        <v>0</v>
      </c>
      <c r="F432" s="1" t="s">
        <v>4</v>
      </c>
      <c r="G432" s="1" t="s">
        <v>7</v>
      </c>
      <c r="H432" s="1">
        <v>9.7200000000000006</v>
      </c>
      <c r="I432" s="1">
        <v>0</v>
      </c>
      <c r="J432" s="13">
        <v>18309</v>
      </c>
      <c r="M432">
        <v>22063</v>
      </c>
    </row>
    <row r="433" spans="3:13" x14ac:dyDescent="0.25">
      <c r="C433" s="3">
        <v>428</v>
      </c>
      <c r="D433" s="1">
        <v>21</v>
      </c>
      <c r="E433" s="1" t="s">
        <v>0</v>
      </c>
      <c r="F433" s="1" t="s">
        <v>4</v>
      </c>
      <c r="G433" s="1" t="s">
        <v>7</v>
      </c>
      <c r="H433" s="1">
        <v>5.6</v>
      </c>
      <c r="I433" s="1">
        <v>1</v>
      </c>
      <c r="J433" s="13">
        <v>7919</v>
      </c>
      <c r="M433">
        <v>20583</v>
      </c>
    </row>
    <row r="434" spans="3:13" x14ac:dyDescent="0.25">
      <c r="C434" s="3">
        <v>429</v>
      </c>
      <c r="D434" s="1">
        <v>27</v>
      </c>
      <c r="E434" s="1" t="s">
        <v>0</v>
      </c>
      <c r="F434" s="1" t="s">
        <v>4</v>
      </c>
      <c r="G434" s="1" t="s">
        <v>6</v>
      </c>
      <c r="H434" s="1">
        <v>10.130000000000001</v>
      </c>
      <c r="I434" s="1">
        <v>3</v>
      </c>
      <c r="J434" s="13">
        <v>47012</v>
      </c>
      <c r="M434">
        <v>68365</v>
      </c>
    </row>
    <row r="435" spans="3:13" x14ac:dyDescent="0.25">
      <c r="C435" s="3">
        <v>430</v>
      </c>
      <c r="D435" s="1">
        <v>19</v>
      </c>
      <c r="E435" s="1" t="s">
        <v>3</v>
      </c>
      <c r="F435" s="1" t="s">
        <v>4</v>
      </c>
      <c r="G435" s="1" t="s">
        <v>2</v>
      </c>
      <c r="H435" s="1">
        <v>11.03</v>
      </c>
      <c r="I435" s="1">
        <v>0</v>
      </c>
      <c r="J435" s="13">
        <v>57707</v>
      </c>
      <c r="M435">
        <v>15491</v>
      </c>
    </row>
    <row r="436" spans="3:13" x14ac:dyDescent="0.25">
      <c r="C436" s="3">
        <v>431</v>
      </c>
      <c r="D436" s="1">
        <v>29</v>
      </c>
      <c r="E436" s="1" t="s">
        <v>0</v>
      </c>
      <c r="F436" s="1" t="s">
        <v>4</v>
      </c>
      <c r="G436" s="1" t="s">
        <v>6</v>
      </c>
      <c r="H436" s="1">
        <v>6.74</v>
      </c>
      <c r="I436" s="1">
        <v>2</v>
      </c>
      <c r="J436" s="13">
        <v>12266</v>
      </c>
      <c r="M436">
        <v>7641</v>
      </c>
    </row>
    <row r="437" spans="3:13" x14ac:dyDescent="0.25">
      <c r="C437" s="3">
        <v>432</v>
      </c>
      <c r="D437" s="1">
        <v>42</v>
      </c>
      <c r="E437" s="1" t="s">
        <v>3</v>
      </c>
      <c r="F437" s="1" t="s">
        <v>4</v>
      </c>
      <c r="G437" s="1" t="s">
        <v>2</v>
      </c>
      <c r="H437" s="1">
        <v>8.9700000000000006</v>
      </c>
      <c r="I437" s="1">
        <v>0</v>
      </c>
      <c r="J437" s="13">
        <v>14924</v>
      </c>
      <c r="M437">
        <v>34718</v>
      </c>
    </row>
    <row r="438" spans="3:13" x14ac:dyDescent="0.25">
      <c r="C438" s="3">
        <v>433</v>
      </c>
      <c r="D438" s="1">
        <v>60</v>
      </c>
      <c r="E438" s="1" t="s">
        <v>0</v>
      </c>
      <c r="F438" s="1" t="s">
        <v>4</v>
      </c>
      <c r="G438" s="1" t="s">
        <v>2</v>
      </c>
      <c r="H438" s="1">
        <v>10.17</v>
      </c>
      <c r="I438" s="1">
        <v>0</v>
      </c>
      <c r="J438" s="13">
        <v>31595</v>
      </c>
      <c r="M438">
        <v>25579</v>
      </c>
    </row>
    <row r="439" spans="3:13" x14ac:dyDescent="0.25">
      <c r="C439" s="3">
        <v>434</v>
      </c>
      <c r="D439" s="1">
        <v>31</v>
      </c>
      <c r="E439" s="1" t="s">
        <v>3</v>
      </c>
      <c r="F439" s="1" t="s">
        <v>4</v>
      </c>
      <c r="G439" s="1" t="s">
        <v>6</v>
      </c>
      <c r="H439" s="1">
        <v>9.5299999999999994</v>
      </c>
      <c r="I439" s="1">
        <v>1</v>
      </c>
      <c r="J439" s="13">
        <v>10609</v>
      </c>
      <c r="M439">
        <v>8172</v>
      </c>
    </row>
    <row r="440" spans="3:13" x14ac:dyDescent="0.25">
      <c r="C440" s="3">
        <v>435</v>
      </c>
      <c r="D440" s="1">
        <v>60</v>
      </c>
      <c r="E440" s="1" t="s">
        <v>3</v>
      </c>
      <c r="F440" s="1" t="s">
        <v>4</v>
      </c>
      <c r="G440" s="1" t="s">
        <v>5</v>
      </c>
      <c r="H440" s="1">
        <v>11.04</v>
      </c>
      <c r="I440" s="1">
        <v>3</v>
      </c>
      <c r="J440" s="13">
        <v>34800</v>
      </c>
      <c r="M440">
        <v>28846</v>
      </c>
    </row>
    <row r="441" spans="3:13" x14ac:dyDescent="0.25">
      <c r="C441" s="3">
        <v>436</v>
      </c>
      <c r="D441" s="1">
        <v>22</v>
      </c>
      <c r="E441" s="1" t="s">
        <v>3</v>
      </c>
      <c r="F441" s="1" t="s">
        <v>4</v>
      </c>
      <c r="G441" s="1" t="s">
        <v>7</v>
      </c>
      <c r="H441" s="1">
        <v>10.58</v>
      </c>
      <c r="I441" s="1">
        <v>0</v>
      </c>
      <c r="J441" s="13">
        <v>5637</v>
      </c>
      <c r="M441">
        <v>8034</v>
      </c>
    </row>
    <row r="442" spans="3:13" x14ac:dyDescent="0.25">
      <c r="C442" s="3">
        <v>437</v>
      </c>
      <c r="D442" s="1">
        <v>35</v>
      </c>
      <c r="E442" s="1" t="s">
        <v>3</v>
      </c>
      <c r="F442" s="1" t="s">
        <v>4</v>
      </c>
      <c r="G442" s="1" t="s">
        <v>2</v>
      </c>
      <c r="H442" s="1">
        <v>9.6300000000000008</v>
      </c>
      <c r="I442" s="1">
        <v>3</v>
      </c>
      <c r="J442" s="13">
        <v>14817</v>
      </c>
      <c r="M442">
        <v>33476</v>
      </c>
    </row>
    <row r="443" spans="3:13" x14ac:dyDescent="0.25">
      <c r="C443" s="3">
        <v>438</v>
      </c>
      <c r="D443" s="1">
        <v>52</v>
      </c>
      <c r="E443" s="1" t="s">
        <v>0</v>
      </c>
      <c r="F443" s="1" t="s">
        <v>4</v>
      </c>
      <c r="G443" s="1" t="s">
        <v>5</v>
      </c>
      <c r="H443" s="1">
        <v>15.58</v>
      </c>
      <c r="I443" s="1">
        <v>5</v>
      </c>
      <c r="J443" s="13">
        <v>31481</v>
      </c>
      <c r="M443">
        <v>9932</v>
      </c>
    </row>
    <row r="444" spans="3:13" x14ac:dyDescent="0.25">
      <c r="C444" s="3">
        <v>439</v>
      </c>
      <c r="D444" s="1">
        <v>26</v>
      </c>
      <c r="E444" s="1" t="s">
        <v>3</v>
      </c>
      <c r="F444" s="1" t="s">
        <v>4</v>
      </c>
      <c r="G444" s="1" t="s">
        <v>7</v>
      </c>
      <c r="H444" s="1">
        <v>9.82</v>
      </c>
      <c r="I444" s="1">
        <v>0</v>
      </c>
      <c r="J444" s="13">
        <v>7243</v>
      </c>
      <c r="M444">
        <v>32393</v>
      </c>
    </row>
    <row r="445" spans="3:13" x14ac:dyDescent="0.25">
      <c r="C445" s="3">
        <v>440</v>
      </c>
      <c r="D445" s="1">
        <v>31</v>
      </c>
      <c r="E445" s="1" t="s">
        <v>0</v>
      </c>
      <c r="F445" s="1" t="s">
        <v>4</v>
      </c>
      <c r="G445" s="1" t="s">
        <v>6</v>
      </c>
      <c r="H445" s="1">
        <v>10.89</v>
      </c>
      <c r="I445" s="1">
        <v>1</v>
      </c>
      <c r="J445" s="13">
        <v>11846</v>
      </c>
      <c r="M445">
        <v>27969</v>
      </c>
    </row>
    <row r="446" spans="3:13" x14ac:dyDescent="0.25">
      <c r="C446" s="3">
        <v>441</v>
      </c>
      <c r="D446" s="1">
        <v>33</v>
      </c>
      <c r="E446" s="1" t="s">
        <v>0</v>
      </c>
      <c r="F446" s="1" t="s">
        <v>1</v>
      </c>
      <c r="G446" s="1" t="s">
        <v>2</v>
      </c>
      <c r="H446" s="1">
        <v>11.17</v>
      </c>
      <c r="I446" s="1">
        <v>0</v>
      </c>
      <c r="J446" s="13">
        <v>92698</v>
      </c>
      <c r="M446">
        <v>44697</v>
      </c>
    </row>
    <row r="447" spans="3:13" x14ac:dyDescent="0.25">
      <c r="C447" s="3">
        <v>442</v>
      </c>
      <c r="D447" s="1">
        <v>18</v>
      </c>
      <c r="E447" s="1" t="s">
        <v>3</v>
      </c>
      <c r="F447" s="1" t="s">
        <v>4</v>
      </c>
      <c r="G447" s="1" t="s">
        <v>5</v>
      </c>
      <c r="H447" s="1">
        <v>14.34</v>
      </c>
      <c r="I447" s="1">
        <v>0</v>
      </c>
      <c r="J447" s="13">
        <v>2873</v>
      </c>
      <c r="M447">
        <v>9619</v>
      </c>
    </row>
    <row r="448" spans="3:13" x14ac:dyDescent="0.25">
      <c r="C448" s="3">
        <v>443</v>
      </c>
      <c r="D448" s="1">
        <v>59</v>
      </c>
      <c r="E448" s="1" t="s">
        <v>0</v>
      </c>
      <c r="F448" s="1" t="s">
        <v>4</v>
      </c>
      <c r="G448" s="1" t="s">
        <v>5</v>
      </c>
      <c r="H448" s="1">
        <v>12.17</v>
      </c>
      <c r="I448" s="1">
        <v>1</v>
      </c>
      <c r="J448" s="13">
        <v>70720</v>
      </c>
      <c r="M448">
        <v>20836</v>
      </c>
    </row>
    <row r="449" spans="3:13" x14ac:dyDescent="0.25">
      <c r="C449" s="3">
        <v>444</v>
      </c>
      <c r="D449" s="1">
        <v>56</v>
      </c>
      <c r="E449" s="1" t="s">
        <v>3</v>
      </c>
      <c r="F449" s="1" t="s">
        <v>1</v>
      </c>
      <c r="G449" s="1" t="s">
        <v>6</v>
      </c>
      <c r="H449" s="1">
        <v>8.9</v>
      </c>
      <c r="I449" s="1">
        <v>1</v>
      </c>
      <c r="J449" s="13">
        <v>65273</v>
      </c>
      <c r="M449">
        <v>9838</v>
      </c>
    </row>
    <row r="450" spans="3:13" x14ac:dyDescent="0.25">
      <c r="C450" s="3">
        <v>445</v>
      </c>
      <c r="D450" s="1">
        <v>45</v>
      </c>
      <c r="E450" s="1" t="s">
        <v>0</v>
      </c>
      <c r="F450" s="1" t="s">
        <v>4</v>
      </c>
      <c r="G450" s="1" t="s">
        <v>2</v>
      </c>
      <c r="H450" s="1">
        <v>11.03</v>
      </c>
      <c r="I450" s="1">
        <v>0</v>
      </c>
      <c r="J450" s="13">
        <v>18363</v>
      </c>
      <c r="M450">
        <v>4116</v>
      </c>
    </row>
    <row r="451" spans="3:13" x14ac:dyDescent="0.25">
      <c r="C451" s="3">
        <v>446</v>
      </c>
      <c r="D451" s="1">
        <v>60</v>
      </c>
      <c r="E451" s="1" t="s">
        <v>3</v>
      </c>
      <c r="F451" s="1" t="s">
        <v>4</v>
      </c>
      <c r="G451" s="1" t="s">
        <v>7</v>
      </c>
      <c r="H451" s="1">
        <v>9.8800000000000008</v>
      </c>
      <c r="I451" s="1">
        <v>0</v>
      </c>
      <c r="J451" s="13">
        <v>31827</v>
      </c>
      <c r="M451">
        <v>22985</v>
      </c>
    </row>
    <row r="452" spans="3:13" x14ac:dyDescent="0.25">
      <c r="C452" s="3">
        <v>447</v>
      </c>
      <c r="D452" s="1">
        <v>56</v>
      </c>
      <c r="E452" s="1" t="s">
        <v>0</v>
      </c>
      <c r="F452" s="1" t="s">
        <v>4</v>
      </c>
      <c r="G452" s="1" t="s">
        <v>6</v>
      </c>
      <c r="H452" s="1">
        <v>8.5500000000000007</v>
      </c>
      <c r="I452" s="1">
        <v>0</v>
      </c>
      <c r="J452" s="13">
        <v>28635</v>
      </c>
      <c r="M452">
        <v>27310</v>
      </c>
    </row>
    <row r="453" spans="3:13" x14ac:dyDescent="0.25">
      <c r="C453" s="3">
        <v>448</v>
      </c>
      <c r="D453" s="1">
        <v>40</v>
      </c>
      <c r="E453" s="1" t="s">
        <v>0</v>
      </c>
      <c r="F453" s="1" t="s">
        <v>4</v>
      </c>
      <c r="G453" s="1" t="s">
        <v>2</v>
      </c>
      <c r="H453" s="1">
        <v>9.8699999999999992</v>
      </c>
      <c r="I453" s="1">
        <v>0</v>
      </c>
      <c r="J453" s="13">
        <v>14777</v>
      </c>
      <c r="M453">
        <v>6235</v>
      </c>
    </row>
    <row r="454" spans="3:13" x14ac:dyDescent="0.25">
      <c r="C454" s="3">
        <v>449</v>
      </c>
      <c r="D454" s="1">
        <v>35</v>
      </c>
      <c r="E454" s="1" t="s">
        <v>3</v>
      </c>
      <c r="F454" s="1" t="s">
        <v>4</v>
      </c>
      <c r="G454" s="1" t="s">
        <v>2</v>
      </c>
      <c r="H454" s="1">
        <v>12.87</v>
      </c>
      <c r="I454" s="1">
        <v>1</v>
      </c>
      <c r="J454" s="13">
        <v>11906</v>
      </c>
      <c r="M454">
        <v>22647</v>
      </c>
    </row>
    <row r="455" spans="3:13" x14ac:dyDescent="0.25">
      <c r="C455" s="3">
        <v>450</v>
      </c>
      <c r="D455" s="1">
        <v>39</v>
      </c>
      <c r="E455" s="1" t="s">
        <v>3</v>
      </c>
      <c r="F455" s="1" t="s">
        <v>4</v>
      </c>
      <c r="G455" s="1" t="s">
        <v>2</v>
      </c>
      <c r="H455" s="1">
        <v>9.8699999999999992</v>
      </c>
      <c r="I455" s="1">
        <v>4</v>
      </c>
      <c r="J455" s="13">
        <v>18781</v>
      </c>
      <c r="M455">
        <v>7003</v>
      </c>
    </row>
    <row r="456" spans="3:13" x14ac:dyDescent="0.25">
      <c r="C456" s="3">
        <v>451</v>
      </c>
      <c r="D456" s="1">
        <v>30</v>
      </c>
      <c r="E456" s="1" t="s">
        <v>3</v>
      </c>
      <c r="F456" s="1" t="s">
        <v>4</v>
      </c>
      <c r="G456" s="1" t="s">
        <v>6</v>
      </c>
      <c r="H456" s="1">
        <v>8.0399999999999991</v>
      </c>
      <c r="I456" s="1">
        <v>1</v>
      </c>
      <c r="J456" s="13">
        <v>10081</v>
      </c>
      <c r="M456">
        <v>5321</v>
      </c>
    </row>
    <row r="457" spans="3:13" x14ac:dyDescent="0.25">
      <c r="C457" s="3">
        <v>452</v>
      </c>
      <c r="D457" s="1">
        <v>24</v>
      </c>
      <c r="E457" s="1" t="s">
        <v>3</v>
      </c>
      <c r="F457" s="1" t="s">
        <v>4</v>
      </c>
      <c r="G457" s="1" t="s">
        <v>2</v>
      </c>
      <c r="H457" s="1">
        <v>7.8</v>
      </c>
      <c r="I457" s="1">
        <v>0</v>
      </c>
      <c r="J457" s="13">
        <v>4924</v>
      </c>
      <c r="M457">
        <v>15934</v>
      </c>
    </row>
    <row r="458" spans="3:13" x14ac:dyDescent="0.25">
      <c r="C458" s="3">
        <v>453</v>
      </c>
      <c r="D458" s="1">
        <v>20</v>
      </c>
      <c r="E458" s="1" t="s">
        <v>3</v>
      </c>
      <c r="F458" s="1" t="s">
        <v>4</v>
      </c>
      <c r="G458" s="1" t="s">
        <v>6</v>
      </c>
      <c r="H458" s="1">
        <v>9.91</v>
      </c>
      <c r="I458" s="1">
        <v>0</v>
      </c>
      <c r="J458" s="13">
        <v>4424</v>
      </c>
      <c r="M458">
        <v>18142</v>
      </c>
    </row>
    <row r="459" spans="3:13" x14ac:dyDescent="0.25">
      <c r="C459" s="3">
        <v>454</v>
      </c>
      <c r="D459" s="1">
        <v>32</v>
      </c>
      <c r="E459" s="1" t="s">
        <v>3</v>
      </c>
      <c r="F459" s="1" t="s">
        <v>4</v>
      </c>
      <c r="G459" s="1" t="s">
        <v>5</v>
      </c>
      <c r="H459" s="1">
        <v>15.51</v>
      </c>
      <c r="I459" s="1">
        <v>2</v>
      </c>
      <c r="J459" s="13">
        <v>11716</v>
      </c>
      <c r="M459">
        <v>28882</v>
      </c>
    </row>
    <row r="460" spans="3:13" x14ac:dyDescent="0.25">
      <c r="C460" s="3">
        <v>455</v>
      </c>
      <c r="D460" s="1">
        <v>59</v>
      </c>
      <c r="E460" s="1" t="s">
        <v>3</v>
      </c>
      <c r="F460" s="1" t="s">
        <v>4</v>
      </c>
      <c r="G460" s="1" t="s">
        <v>2</v>
      </c>
      <c r="H460" s="1">
        <v>12.47</v>
      </c>
      <c r="I460" s="1">
        <v>0</v>
      </c>
      <c r="J460" s="13">
        <v>54493</v>
      </c>
      <c r="M460">
        <v>9403</v>
      </c>
    </row>
    <row r="461" spans="3:13" x14ac:dyDescent="0.25">
      <c r="C461" s="3">
        <v>456</v>
      </c>
      <c r="D461" s="1">
        <v>55</v>
      </c>
      <c r="E461" s="1" t="s">
        <v>0</v>
      </c>
      <c r="F461" s="1" t="s">
        <v>4</v>
      </c>
      <c r="G461" s="1" t="s">
        <v>5</v>
      </c>
      <c r="H461" s="1">
        <v>10.050000000000001</v>
      </c>
      <c r="I461" s="1">
        <v>2</v>
      </c>
      <c r="J461" s="13">
        <v>29705</v>
      </c>
      <c r="M461">
        <v>5549</v>
      </c>
    </row>
    <row r="462" spans="3:13" x14ac:dyDescent="0.25">
      <c r="C462" s="3">
        <v>457</v>
      </c>
      <c r="D462" s="1">
        <v>57</v>
      </c>
      <c r="E462" s="1" t="s">
        <v>0</v>
      </c>
      <c r="F462" s="1" t="s">
        <v>4</v>
      </c>
      <c r="G462" s="1" t="s">
        <v>6</v>
      </c>
      <c r="H462" s="1">
        <v>10.17</v>
      </c>
      <c r="I462" s="1">
        <v>0</v>
      </c>
      <c r="J462" s="13">
        <v>29602</v>
      </c>
      <c r="M462">
        <v>11884</v>
      </c>
    </row>
    <row r="463" spans="3:13" x14ac:dyDescent="0.25">
      <c r="C463" s="3">
        <v>458</v>
      </c>
      <c r="D463" s="1">
        <v>56</v>
      </c>
      <c r="E463" s="1" t="s">
        <v>3</v>
      </c>
      <c r="F463" s="1" t="s">
        <v>4</v>
      </c>
      <c r="G463" s="1" t="s">
        <v>2</v>
      </c>
      <c r="H463" s="1">
        <v>13.2</v>
      </c>
      <c r="I463" s="1">
        <v>0</v>
      </c>
      <c r="J463" s="13">
        <v>26504</v>
      </c>
      <c r="M463">
        <v>79050</v>
      </c>
    </row>
    <row r="464" spans="3:13" x14ac:dyDescent="0.25">
      <c r="C464" s="3">
        <v>459</v>
      </c>
      <c r="D464" s="1">
        <v>40</v>
      </c>
      <c r="E464" s="1" t="s">
        <v>0</v>
      </c>
      <c r="F464" s="1" t="s">
        <v>4</v>
      </c>
      <c r="G464" s="1" t="s">
        <v>5</v>
      </c>
      <c r="H464" s="1">
        <v>11</v>
      </c>
      <c r="I464" s="1">
        <v>3</v>
      </c>
      <c r="J464" s="13">
        <v>19207</v>
      </c>
      <c r="M464">
        <v>33060</v>
      </c>
    </row>
    <row r="465" spans="3:13" x14ac:dyDescent="0.25">
      <c r="C465" s="3">
        <v>460</v>
      </c>
      <c r="D465" s="1">
        <v>49</v>
      </c>
      <c r="E465" s="1" t="s">
        <v>0</v>
      </c>
      <c r="F465" s="1" t="s">
        <v>4</v>
      </c>
      <c r="G465" s="1" t="s">
        <v>5</v>
      </c>
      <c r="H465" s="1">
        <v>12.21</v>
      </c>
      <c r="I465" s="1">
        <v>3</v>
      </c>
      <c r="J465" s="13">
        <v>25954</v>
      </c>
      <c r="M465">
        <v>30557</v>
      </c>
    </row>
    <row r="466" spans="3:13" x14ac:dyDescent="0.25">
      <c r="C466" s="3">
        <v>461</v>
      </c>
      <c r="D466" s="1">
        <v>42</v>
      </c>
      <c r="E466" s="1" t="s">
        <v>3</v>
      </c>
      <c r="F466" s="1" t="s">
        <v>1</v>
      </c>
      <c r="G466" s="1" t="s">
        <v>2</v>
      </c>
      <c r="H466" s="1">
        <v>10</v>
      </c>
      <c r="I466" s="1">
        <v>0</v>
      </c>
      <c r="J466" s="13">
        <v>55360</v>
      </c>
      <c r="M466">
        <v>4162</v>
      </c>
    </row>
    <row r="467" spans="3:13" x14ac:dyDescent="0.25">
      <c r="C467" s="3">
        <v>462</v>
      </c>
      <c r="D467" s="1">
        <v>62</v>
      </c>
      <c r="E467" s="1" t="s">
        <v>0</v>
      </c>
      <c r="F467" s="1" t="s">
        <v>4</v>
      </c>
      <c r="G467" s="1" t="s">
        <v>7</v>
      </c>
      <c r="H467" s="1">
        <v>12.7</v>
      </c>
      <c r="I467" s="1">
        <v>2</v>
      </c>
      <c r="J467" s="13">
        <v>38076</v>
      </c>
      <c r="M467">
        <v>24311</v>
      </c>
    </row>
    <row r="468" spans="3:13" x14ac:dyDescent="0.25">
      <c r="C468" s="3">
        <v>463</v>
      </c>
      <c r="D468" s="1">
        <v>56</v>
      </c>
      <c r="E468" s="1" t="s">
        <v>3</v>
      </c>
      <c r="F468" s="1" t="s">
        <v>4</v>
      </c>
      <c r="G468" s="1" t="s">
        <v>7</v>
      </c>
      <c r="H468" s="1">
        <v>8.64</v>
      </c>
      <c r="I468" s="1">
        <v>0</v>
      </c>
      <c r="J468" s="13">
        <v>27914</v>
      </c>
      <c r="M468">
        <v>8016</v>
      </c>
    </row>
    <row r="469" spans="3:13" x14ac:dyDescent="0.25">
      <c r="C469" s="3">
        <v>464</v>
      </c>
      <c r="D469" s="1">
        <v>19</v>
      </c>
      <c r="E469" s="1" t="s">
        <v>3</v>
      </c>
      <c r="F469" s="1" t="s">
        <v>4</v>
      </c>
      <c r="G469" s="1" t="s">
        <v>6</v>
      </c>
      <c r="H469" s="1">
        <v>8.39</v>
      </c>
      <c r="I469" s="1">
        <v>0</v>
      </c>
      <c r="J469" s="13">
        <v>4080</v>
      </c>
      <c r="M469">
        <v>32285</v>
      </c>
    </row>
    <row r="470" spans="3:13" x14ac:dyDescent="0.25">
      <c r="C470" s="3">
        <v>465</v>
      </c>
      <c r="D470" s="1">
        <v>30</v>
      </c>
      <c r="E470" s="1" t="s">
        <v>0</v>
      </c>
      <c r="F470" s="1" t="s">
        <v>1</v>
      </c>
      <c r="G470" s="1" t="s">
        <v>5</v>
      </c>
      <c r="H470" s="1">
        <v>9.4600000000000009</v>
      </c>
      <c r="I470" s="1">
        <v>1</v>
      </c>
      <c r="J470" s="13">
        <v>48805</v>
      </c>
      <c r="M470">
        <v>4099</v>
      </c>
    </row>
    <row r="471" spans="3:13" x14ac:dyDescent="0.25">
      <c r="C471" s="3">
        <v>466</v>
      </c>
      <c r="D471" s="1">
        <v>60</v>
      </c>
      <c r="E471" s="1" t="s">
        <v>0</v>
      </c>
      <c r="F471" s="1" t="s">
        <v>4</v>
      </c>
      <c r="G471" s="1" t="s">
        <v>2</v>
      </c>
      <c r="H471" s="1">
        <v>9.57</v>
      </c>
      <c r="I471" s="1">
        <v>1</v>
      </c>
      <c r="J471" s="13">
        <v>33062</v>
      </c>
      <c r="M471">
        <v>15891</v>
      </c>
    </row>
    <row r="472" spans="3:13" x14ac:dyDescent="0.25">
      <c r="C472" s="3">
        <v>467</v>
      </c>
      <c r="D472" s="1">
        <v>56</v>
      </c>
      <c r="E472" s="1" t="s">
        <v>0</v>
      </c>
      <c r="F472" s="1" t="s">
        <v>4</v>
      </c>
      <c r="G472" s="1" t="s">
        <v>6</v>
      </c>
      <c r="H472" s="1">
        <v>11.27</v>
      </c>
      <c r="I472" s="1">
        <v>2</v>
      </c>
      <c r="J472" s="13">
        <v>31608</v>
      </c>
      <c r="M472">
        <v>44066</v>
      </c>
    </row>
    <row r="473" spans="3:13" x14ac:dyDescent="0.25">
      <c r="C473" s="3">
        <v>468</v>
      </c>
      <c r="D473" s="1">
        <v>28</v>
      </c>
      <c r="E473" s="1" t="s">
        <v>0</v>
      </c>
      <c r="F473" s="1" t="s">
        <v>4</v>
      </c>
      <c r="G473" s="1" t="s">
        <v>7</v>
      </c>
      <c r="H473" s="1">
        <v>8.11</v>
      </c>
      <c r="I473" s="1">
        <v>1</v>
      </c>
      <c r="J473" s="13">
        <v>58222</v>
      </c>
      <c r="M473">
        <v>3107</v>
      </c>
    </row>
    <row r="474" spans="3:13" x14ac:dyDescent="0.25">
      <c r="C474" s="3">
        <v>469</v>
      </c>
      <c r="D474" s="1">
        <v>18</v>
      </c>
      <c r="E474" s="1" t="s">
        <v>0</v>
      </c>
      <c r="F474" s="1" t="s">
        <v>4</v>
      </c>
      <c r="G474" s="1" t="s">
        <v>5</v>
      </c>
      <c r="H474" s="1">
        <v>8.0299999999999994</v>
      </c>
      <c r="I474" s="1">
        <v>1</v>
      </c>
      <c r="J474" s="13">
        <v>5503</v>
      </c>
      <c r="M474">
        <v>11949</v>
      </c>
    </row>
    <row r="475" spans="3:13" x14ac:dyDescent="0.25">
      <c r="C475" s="3">
        <v>470</v>
      </c>
      <c r="D475" s="1">
        <v>27</v>
      </c>
      <c r="E475" s="1" t="s">
        <v>3</v>
      </c>
      <c r="F475" s="1" t="s">
        <v>4</v>
      </c>
      <c r="G475" s="1" t="s">
        <v>5</v>
      </c>
      <c r="H475" s="1">
        <v>10.89</v>
      </c>
      <c r="I475" s="1">
        <v>0</v>
      </c>
      <c r="J475" s="13">
        <v>6243</v>
      </c>
      <c r="M475">
        <v>9653</v>
      </c>
    </row>
    <row r="476" spans="3:13" x14ac:dyDescent="0.25">
      <c r="C476" s="3">
        <v>471</v>
      </c>
      <c r="D476" s="1">
        <v>18</v>
      </c>
      <c r="E476" s="1" t="s">
        <v>0</v>
      </c>
      <c r="F476" s="1" t="s">
        <v>4</v>
      </c>
      <c r="G476" s="1" t="s">
        <v>7</v>
      </c>
      <c r="H476" s="1">
        <v>10.039999999999999</v>
      </c>
      <c r="I476" s="1">
        <v>0</v>
      </c>
      <c r="J476" s="13">
        <v>5509</v>
      </c>
      <c r="M476">
        <v>34089</v>
      </c>
    </row>
    <row r="477" spans="3:13" x14ac:dyDescent="0.25">
      <c r="C477" s="3">
        <v>472</v>
      </c>
      <c r="D477" s="1">
        <v>19</v>
      </c>
      <c r="E477" s="1" t="s">
        <v>0</v>
      </c>
      <c r="F477" s="1" t="s">
        <v>4</v>
      </c>
      <c r="G477" s="1" t="s">
        <v>2</v>
      </c>
      <c r="H477" s="1">
        <v>9.93</v>
      </c>
      <c r="I477" s="1">
        <v>0</v>
      </c>
      <c r="J477" s="13">
        <v>4361</v>
      </c>
      <c r="M477">
        <v>14942</v>
      </c>
    </row>
    <row r="478" spans="3:13" x14ac:dyDescent="0.25">
      <c r="C478" s="3">
        <v>473</v>
      </c>
      <c r="D478" s="1">
        <v>47</v>
      </c>
      <c r="E478" s="1" t="s">
        <v>0</v>
      </c>
      <c r="F478" s="1" t="s">
        <v>4</v>
      </c>
      <c r="G478" s="1" t="s">
        <v>7</v>
      </c>
      <c r="H478" s="1">
        <v>11.12</v>
      </c>
      <c r="I478" s="1">
        <v>0</v>
      </c>
      <c r="J478" s="13">
        <v>52197</v>
      </c>
      <c r="M478">
        <v>29606</v>
      </c>
    </row>
    <row r="479" spans="3:13" x14ac:dyDescent="0.25">
      <c r="C479" s="3">
        <v>474</v>
      </c>
      <c r="D479" s="1">
        <v>54</v>
      </c>
      <c r="E479" s="1" t="s">
        <v>3</v>
      </c>
      <c r="F479" s="1" t="s">
        <v>1</v>
      </c>
      <c r="G479" s="1" t="s">
        <v>2</v>
      </c>
      <c r="H479" s="1">
        <v>8.3699999999999992</v>
      </c>
      <c r="I479" s="1">
        <v>3</v>
      </c>
      <c r="J479" s="13">
        <v>63456</v>
      </c>
      <c r="M479">
        <v>21070</v>
      </c>
    </row>
    <row r="480" spans="3:13" x14ac:dyDescent="0.25">
      <c r="C480" s="3">
        <v>475</v>
      </c>
      <c r="D480" s="1">
        <v>61</v>
      </c>
      <c r="E480" s="1" t="s">
        <v>3</v>
      </c>
      <c r="F480" s="1" t="s">
        <v>1</v>
      </c>
      <c r="G480" s="1" t="s">
        <v>6</v>
      </c>
      <c r="H480" s="1">
        <v>9.44</v>
      </c>
      <c r="I480" s="1">
        <v>1</v>
      </c>
      <c r="J480" s="13">
        <v>72172</v>
      </c>
      <c r="M480">
        <v>6416</v>
      </c>
    </row>
    <row r="481" spans="3:13" x14ac:dyDescent="0.25">
      <c r="C481" s="3">
        <v>476</v>
      </c>
      <c r="D481" s="1">
        <v>24</v>
      </c>
      <c r="E481" s="1" t="s">
        <v>3</v>
      </c>
      <c r="F481" s="1" t="s">
        <v>1</v>
      </c>
      <c r="G481" s="1" t="s">
        <v>7</v>
      </c>
      <c r="H481" s="1">
        <v>9.5</v>
      </c>
      <c r="I481" s="1">
        <v>0</v>
      </c>
      <c r="J481" s="13">
        <v>87869</v>
      </c>
      <c r="M481">
        <v>14273</v>
      </c>
    </row>
    <row r="482" spans="3:13" x14ac:dyDescent="0.25">
      <c r="C482" s="3">
        <v>477</v>
      </c>
      <c r="D482" s="1">
        <v>25</v>
      </c>
      <c r="E482" s="1" t="s">
        <v>3</v>
      </c>
      <c r="F482" s="1" t="s">
        <v>4</v>
      </c>
      <c r="G482" s="1" t="s">
        <v>6</v>
      </c>
      <c r="H482" s="1">
        <v>11.88</v>
      </c>
      <c r="I482" s="1">
        <v>0</v>
      </c>
      <c r="J482" s="13">
        <v>6336</v>
      </c>
      <c r="M482">
        <v>22060</v>
      </c>
    </row>
    <row r="483" spans="3:13" x14ac:dyDescent="0.25">
      <c r="C483" s="3">
        <v>478</v>
      </c>
      <c r="D483" s="1">
        <v>21</v>
      </c>
      <c r="E483" s="1" t="s">
        <v>3</v>
      </c>
      <c r="F483" s="1" t="s">
        <v>4</v>
      </c>
      <c r="G483" s="1" t="s">
        <v>5</v>
      </c>
      <c r="H483" s="1">
        <v>12.28</v>
      </c>
      <c r="I483" s="1">
        <v>0</v>
      </c>
      <c r="J483" s="13">
        <v>3836</v>
      </c>
      <c r="M483">
        <v>19101</v>
      </c>
    </row>
    <row r="484" spans="3:13" x14ac:dyDescent="0.25">
      <c r="C484" s="3">
        <v>479</v>
      </c>
      <c r="D484" s="1">
        <v>23</v>
      </c>
      <c r="E484" s="1" t="s">
        <v>3</v>
      </c>
      <c r="F484" s="1" t="s">
        <v>4</v>
      </c>
      <c r="G484" s="1" t="s">
        <v>5</v>
      </c>
      <c r="H484" s="1">
        <v>10.85</v>
      </c>
      <c r="I484" s="1">
        <v>0</v>
      </c>
      <c r="J484" s="13">
        <v>4561</v>
      </c>
      <c r="M484">
        <v>13987</v>
      </c>
    </row>
    <row r="485" spans="3:13" x14ac:dyDescent="0.25">
      <c r="C485" s="3">
        <v>480</v>
      </c>
      <c r="D485" s="1">
        <v>63</v>
      </c>
      <c r="E485" s="1" t="s">
        <v>3</v>
      </c>
      <c r="F485" s="1" t="s">
        <v>4</v>
      </c>
      <c r="G485" s="1" t="s">
        <v>6</v>
      </c>
      <c r="H485" s="1">
        <v>13.78</v>
      </c>
      <c r="I485" s="1">
        <v>3</v>
      </c>
      <c r="J485" s="13">
        <v>38888</v>
      </c>
      <c r="M485">
        <v>18604</v>
      </c>
    </row>
    <row r="486" spans="3:13" x14ac:dyDescent="0.25">
      <c r="C486" s="3">
        <v>481</v>
      </c>
      <c r="D486" s="1">
        <v>49</v>
      </c>
      <c r="E486" s="1" t="s">
        <v>3</v>
      </c>
      <c r="F486" s="1" t="s">
        <v>4</v>
      </c>
      <c r="G486" s="1" t="s">
        <v>5</v>
      </c>
      <c r="H486" s="1">
        <v>12.5</v>
      </c>
      <c r="I486" s="1">
        <v>2</v>
      </c>
      <c r="J486" s="13">
        <v>23262</v>
      </c>
      <c r="M486">
        <v>83680</v>
      </c>
    </row>
    <row r="487" spans="3:13" x14ac:dyDescent="0.25">
      <c r="C487" s="3">
        <v>482</v>
      </c>
      <c r="D487" s="1">
        <v>18</v>
      </c>
      <c r="E487" s="1" t="s">
        <v>0</v>
      </c>
      <c r="F487" s="1" t="s">
        <v>4</v>
      </c>
      <c r="G487" s="1" t="s">
        <v>5</v>
      </c>
      <c r="H487" s="1">
        <v>10.45</v>
      </c>
      <c r="I487" s="1">
        <v>0</v>
      </c>
      <c r="J487" s="13">
        <v>4055</v>
      </c>
      <c r="M487">
        <v>4083</v>
      </c>
    </row>
    <row r="488" spans="3:13" x14ac:dyDescent="0.25">
      <c r="C488" s="3">
        <v>483</v>
      </c>
      <c r="D488" s="1">
        <v>51</v>
      </c>
      <c r="E488" s="1" t="s">
        <v>0</v>
      </c>
      <c r="F488" s="1" t="s">
        <v>4</v>
      </c>
      <c r="G488" s="1" t="s">
        <v>2</v>
      </c>
      <c r="H488" s="1">
        <v>13.17</v>
      </c>
      <c r="I488" s="1">
        <v>1</v>
      </c>
      <c r="J488" s="13">
        <v>24700</v>
      </c>
      <c r="M488">
        <v>22935</v>
      </c>
    </row>
    <row r="489" spans="3:13" x14ac:dyDescent="0.25">
      <c r="C489" s="3">
        <v>484</v>
      </c>
      <c r="D489" s="1">
        <v>48</v>
      </c>
      <c r="E489" s="1" t="s">
        <v>3</v>
      </c>
      <c r="F489" s="1" t="s">
        <v>4</v>
      </c>
      <c r="G489" s="1" t="s">
        <v>2</v>
      </c>
      <c r="H489" s="1">
        <v>11.43</v>
      </c>
      <c r="I489" s="1">
        <v>3</v>
      </c>
      <c r="J489" s="13">
        <v>23908</v>
      </c>
      <c r="M489">
        <v>27676</v>
      </c>
    </row>
    <row r="490" spans="3:13" x14ac:dyDescent="0.25">
      <c r="C490" s="3">
        <v>485</v>
      </c>
      <c r="D490" s="1">
        <v>31</v>
      </c>
      <c r="E490" s="1" t="s">
        <v>0</v>
      </c>
      <c r="F490" s="1" t="s">
        <v>4</v>
      </c>
      <c r="G490" s="1" t="s">
        <v>7</v>
      </c>
      <c r="H490" s="1">
        <v>10.36</v>
      </c>
      <c r="I490" s="1">
        <v>0</v>
      </c>
      <c r="J490" s="13">
        <v>10868</v>
      </c>
      <c r="M490">
        <v>40213</v>
      </c>
    </row>
    <row r="491" spans="3:13" x14ac:dyDescent="0.25">
      <c r="C491" s="3">
        <v>486</v>
      </c>
      <c r="D491" s="1">
        <v>54</v>
      </c>
      <c r="E491" s="1" t="s">
        <v>0</v>
      </c>
      <c r="F491" s="1" t="s">
        <v>4</v>
      </c>
      <c r="G491" s="1" t="s">
        <v>6</v>
      </c>
      <c r="H491" s="1">
        <v>7.16</v>
      </c>
      <c r="I491" s="1">
        <v>3</v>
      </c>
      <c r="J491" s="13">
        <v>31188</v>
      </c>
      <c r="M491">
        <v>23209</v>
      </c>
    </row>
    <row r="492" spans="3:13" x14ac:dyDescent="0.25">
      <c r="C492" s="3">
        <v>487</v>
      </c>
      <c r="D492" s="1">
        <v>19</v>
      </c>
      <c r="E492" s="1" t="s">
        <v>3</v>
      </c>
      <c r="F492" s="1" t="s">
        <v>4</v>
      </c>
      <c r="G492" s="1" t="s">
        <v>2</v>
      </c>
      <c r="H492" s="1">
        <v>9.57</v>
      </c>
      <c r="I492" s="1">
        <v>0</v>
      </c>
      <c r="J492" s="13">
        <v>3135</v>
      </c>
      <c r="M492">
        <v>8897</v>
      </c>
    </row>
    <row r="493" spans="3:13" x14ac:dyDescent="0.25">
      <c r="C493" s="3">
        <v>488</v>
      </c>
      <c r="D493" s="1">
        <v>44</v>
      </c>
      <c r="E493" s="1" t="s">
        <v>0</v>
      </c>
      <c r="F493" s="1" t="s">
        <v>1</v>
      </c>
      <c r="G493" s="1" t="s">
        <v>5</v>
      </c>
      <c r="H493" s="1">
        <v>12.69</v>
      </c>
      <c r="I493" s="1">
        <v>0</v>
      </c>
      <c r="J493" s="13">
        <v>122213</v>
      </c>
      <c r="M493">
        <v>11088</v>
      </c>
    </row>
    <row r="494" spans="3:13" x14ac:dyDescent="0.25">
      <c r="C494" s="3">
        <v>489</v>
      </c>
      <c r="D494" s="1">
        <v>53</v>
      </c>
      <c r="E494" s="1" t="s">
        <v>3</v>
      </c>
      <c r="F494" s="1" t="s">
        <v>4</v>
      </c>
      <c r="G494" s="1" t="s">
        <v>6</v>
      </c>
      <c r="H494" s="1">
        <v>10.39</v>
      </c>
      <c r="I494" s="1">
        <v>1</v>
      </c>
      <c r="J494" s="13">
        <v>26155</v>
      </c>
      <c r="M494">
        <v>21369</v>
      </c>
    </row>
    <row r="495" spans="3:13" x14ac:dyDescent="0.25">
      <c r="C495" s="3">
        <v>490</v>
      </c>
      <c r="D495" s="1">
        <v>19</v>
      </c>
      <c r="E495" s="1" t="s">
        <v>0</v>
      </c>
      <c r="F495" s="1" t="s">
        <v>4</v>
      </c>
      <c r="G495" s="1" t="s">
        <v>2</v>
      </c>
      <c r="H495" s="1">
        <v>10.97</v>
      </c>
      <c r="I495" s="1">
        <v>0</v>
      </c>
      <c r="J495" s="13">
        <v>4372</v>
      </c>
      <c r="M495">
        <v>16429</v>
      </c>
    </row>
    <row r="496" spans="3:13" x14ac:dyDescent="0.25">
      <c r="C496" s="3">
        <v>491</v>
      </c>
      <c r="D496" s="1">
        <v>61</v>
      </c>
      <c r="E496" s="1" t="s">
        <v>0</v>
      </c>
      <c r="F496" s="1" t="s">
        <v>4</v>
      </c>
      <c r="G496" s="1" t="s">
        <v>5</v>
      </c>
      <c r="H496" s="1">
        <v>8.36</v>
      </c>
      <c r="I496" s="1">
        <v>0</v>
      </c>
      <c r="J496" s="13">
        <v>61283</v>
      </c>
      <c r="M496">
        <v>5519</v>
      </c>
    </row>
    <row r="497" spans="3:13" x14ac:dyDescent="0.25">
      <c r="C497" s="3">
        <v>492</v>
      </c>
      <c r="D497" s="1">
        <v>18</v>
      </c>
      <c r="E497" s="1" t="s">
        <v>0</v>
      </c>
      <c r="F497" s="1" t="s">
        <v>4</v>
      </c>
      <c r="G497" s="1" t="s">
        <v>7</v>
      </c>
      <c r="H497" s="1">
        <v>8.36</v>
      </c>
      <c r="I497" s="1">
        <v>0</v>
      </c>
      <c r="J497" s="13">
        <v>5491</v>
      </c>
      <c r="M497">
        <v>16883</v>
      </c>
    </row>
    <row r="498" spans="3:13" x14ac:dyDescent="0.25">
      <c r="C498" s="3">
        <v>493</v>
      </c>
      <c r="D498" s="1">
        <v>61</v>
      </c>
      <c r="E498" s="1" t="s">
        <v>3</v>
      </c>
      <c r="F498" s="1" t="s">
        <v>4</v>
      </c>
      <c r="G498" s="1" t="s">
        <v>2</v>
      </c>
      <c r="H498" s="1">
        <v>14.47</v>
      </c>
      <c r="I498" s="1">
        <v>0</v>
      </c>
      <c r="J498" s="13">
        <v>31435</v>
      </c>
      <c r="M498">
        <v>4700</v>
      </c>
    </row>
    <row r="499" spans="3:13" x14ac:dyDescent="0.25">
      <c r="C499" s="3">
        <v>494</v>
      </c>
      <c r="D499" s="1">
        <v>21</v>
      </c>
      <c r="E499" s="1" t="s">
        <v>3</v>
      </c>
      <c r="F499" s="1" t="s">
        <v>1</v>
      </c>
      <c r="G499" s="1" t="s">
        <v>2</v>
      </c>
      <c r="H499" s="1">
        <v>8.57</v>
      </c>
      <c r="I499" s="1">
        <v>4</v>
      </c>
      <c r="J499" s="13">
        <v>44855</v>
      </c>
      <c r="M499">
        <v>29145</v>
      </c>
    </row>
    <row r="500" spans="3:13" x14ac:dyDescent="0.25">
      <c r="C500" s="3">
        <v>495</v>
      </c>
      <c r="D500" s="1">
        <v>20</v>
      </c>
      <c r="E500" s="1" t="s">
        <v>3</v>
      </c>
      <c r="F500" s="1" t="s">
        <v>4</v>
      </c>
      <c r="G500" s="1" t="s">
        <v>7</v>
      </c>
      <c r="H500" s="1">
        <v>9.31</v>
      </c>
      <c r="I500" s="1">
        <v>0</v>
      </c>
      <c r="J500" s="13">
        <v>4918</v>
      </c>
      <c r="M500">
        <v>26784</v>
      </c>
    </row>
    <row r="501" spans="3:13" x14ac:dyDescent="0.25">
      <c r="C501" s="3">
        <v>496</v>
      </c>
      <c r="D501" s="1">
        <v>31</v>
      </c>
      <c r="E501" s="1" t="s">
        <v>0</v>
      </c>
      <c r="F501" s="1" t="s">
        <v>4</v>
      </c>
      <c r="G501" s="1" t="s">
        <v>2</v>
      </c>
      <c r="H501" s="1">
        <v>7.87</v>
      </c>
      <c r="I501" s="1">
        <v>2</v>
      </c>
      <c r="J501" s="13">
        <v>12329</v>
      </c>
      <c r="M501">
        <v>9148</v>
      </c>
    </row>
    <row r="502" spans="3:13" x14ac:dyDescent="0.25">
      <c r="C502" s="3">
        <v>497</v>
      </c>
      <c r="D502" s="1">
        <v>45</v>
      </c>
      <c r="E502" s="1" t="s">
        <v>3</v>
      </c>
      <c r="F502" s="1" t="s">
        <v>4</v>
      </c>
      <c r="G502" s="1" t="s">
        <v>2</v>
      </c>
      <c r="H502" s="1">
        <v>9.57</v>
      </c>
      <c r="I502" s="1">
        <v>2</v>
      </c>
      <c r="J502" s="13">
        <v>20070</v>
      </c>
      <c r="M502">
        <v>22955</v>
      </c>
    </row>
    <row r="503" spans="3:13" x14ac:dyDescent="0.25">
      <c r="C503" s="3">
        <v>498</v>
      </c>
      <c r="D503" s="1">
        <v>44</v>
      </c>
      <c r="E503" s="1" t="s">
        <v>0</v>
      </c>
      <c r="F503" s="1" t="s">
        <v>4</v>
      </c>
      <c r="G503" s="1" t="s">
        <v>5</v>
      </c>
      <c r="H503" s="1">
        <v>7.99</v>
      </c>
      <c r="I503" s="1">
        <v>2</v>
      </c>
      <c r="J503" s="13">
        <v>20528</v>
      </c>
      <c r="M503">
        <v>30324</v>
      </c>
    </row>
    <row r="504" spans="3:13" x14ac:dyDescent="0.25">
      <c r="C504" s="3">
        <v>499</v>
      </c>
      <c r="D504" s="1">
        <v>62</v>
      </c>
      <c r="E504" s="1" t="s">
        <v>0</v>
      </c>
      <c r="F504" s="1" t="s">
        <v>4</v>
      </c>
      <c r="G504" s="1" t="s">
        <v>2</v>
      </c>
      <c r="H504" s="1">
        <v>13.07</v>
      </c>
      <c r="I504" s="1">
        <v>0</v>
      </c>
      <c r="J504" s="13">
        <v>33677</v>
      </c>
      <c r="M504">
        <v>9341</v>
      </c>
    </row>
    <row r="505" spans="3:13" x14ac:dyDescent="0.25">
      <c r="C505" s="3">
        <v>500</v>
      </c>
      <c r="D505" s="1">
        <v>29</v>
      </c>
      <c r="E505" s="1" t="s">
        <v>3</v>
      </c>
      <c r="F505" s="1" t="s">
        <v>1</v>
      </c>
      <c r="G505" s="1" t="s">
        <v>2</v>
      </c>
      <c r="H505" s="1">
        <v>11.47</v>
      </c>
      <c r="I505" s="1">
        <v>0</v>
      </c>
      <c r="J505" s="13">
        <v>90494</v>
      </c>
      <c r="M505">
        <v>16871</v>
      </c>
    </row>
    <row r="506" spans="3:13" x14ac:dyDescent="0.25">
      <c r="C506" s="3">
        <v>501</v>
      </c>
      <c r="D506" s="1">
        <v>43</v>
      </c>
      <c r="E506" s="1" t="s">
        <v>3</v>
      </c>
      <c r="F506" s="1" t="s">
        <v>4</v>
      </c>
      <c r="G506" s="1" t="s">
        <v>7</v>
      </c>
      <c r="H506" s="1">
        <v>8.68</v>
      </c>
      <c r="I506" s="1">
        <v>0</v>
      </c>
      <c r="J506" s="13">
        <v>17093</v>
      </c>
      <c r="M506">
        <v>28317</v>
      </c>
    </row>
    <row r="507" spans="3:13" x14ac:dyDescent="0.25">
      <c r="C507" s="3">
        <v>502</v>
      </c>
      <c r="D507" s="1">
        <v>51</v>
      </c>
      <c r="E507" s="1" t="s">
        <v>3</v>
      </c>
      <c r="F507" s="1" t="s">
        <v>1</v>
      </c>
      <c r="G507" s="1" t="s">
        <v>5</v>
      </c>
      <c r="H507" s="1">
        <v>7.74</v>
      </c>
      <c r="I507" s="1">
        <v>1</v>
      </c>
      <c r="J507" s="13">
        <v>55545</v>
      </c>
      <c r="M507">
        <v>28415</v>
      </c>
    </row>
    <row r="508" spans="3:13" x14ac:dyDescent="0.25">
      <c r="C508" s="3">
        <v>503</v>
      </c>
      <c r="D508" s="1">
        <v>19</v>
      </c>
      <c r="E508" s="1" t="s">
        <v>3</v>
      </c>
      <c r="F508" s="1" t="s">
        <v>1</v>
      </c>
      <c r="G508" s="1" t="s">
        <v>5</v>
      </c>
      <c r="H508" s="1">
        <v>10.08</v>
      </c>
      <c r="I508" s="1">
        <v>0</v>
      </c>
      <c r="J508" s="13">
        <v>81371</v>
      </c>
      <c r="M508">
        <v>25215</v>
      </c>
    </row>
    <row r="509" spans="3:13" x14ac:dyDescent="0.25">
      <c r="C509" s="3">
        <v>504</v>
      </c>
      <c r="D509" s="1">
        <v>38</v>
      </c>
      <c r="E509" s="1" t="s">
        <v>0</v>
      </c>
      <c r="F509" s="1" t="s">
        <v>4</v>
      </c>
      <c r="G509" s="1" t="s">
        <v>5</v>
      </c>
      <c r="H509" s="1">
        <v>9.64</v>
      </c>
      <c r="I509" s="1">
        <v>1</v>
      </c>
      <c r="J509" s="13">
        <v>14936</v>
      </c>
      <c r="M509">
        <v>4945</v>
      </c>
    </row>
    <row r="510" spans="3:13" x14ac:dyDescent="0.25">
      <c r="C510" s="3">
        <v>505</v>
      </c>
      <c r="D510" s="1">
        <v>37</v>
      </c>
      <c r="E510" s="1" t="s">
        <v>3</v>
      </c>
      <c r="F510" s="1" t="s">
        <v>4</v>
      </c>
      <c r="G510" s="1" t="s">
        <v>6</v>
      </c>
      <c r="H510" s="1">
        <v>10.29</v>
      </c>
      <c r="I510" s="1">
        <v>3</v>
      </c>
      <c r="J510" s="13">
        <v>16992</v>
      </c>
      <c r="M510">
        <v>8417</v>
      </c>
    </row>
    <row r="511" spans="3:13" x14ac:dyDescent="0.25">
      <c r="C511" s="3">
        <v>506</v>
      </c>
      <c r="D511" s="1">
        <v>22</v>
      </c>
      <c r="E511" s="1" t="s">
        <v>3</v>
      </c>
      <c r="F511" s="1" t="s">
        <v>4</v>
      </c>
      <c r="G511" s="1" t="s">
        <v>6</v>
      </c>
      <c r="H511" s="1">
        <v>10.45</v>
      </c>
      <c r="I511" s="1">
        <v>1</v>
      </c>
      <c r="J511" s="13">
        <v>6608</v>
      </c>
      <c r="M511">
        <v>17933</v>
      </c>
    </row>
    <row r="512" spans="3:13" x14ac:dyDescent="0.25">
      <c r="C512" s="3">
        <v>507</v>
      </c>
      <c r="D512" s="1">
        <v>21</v>
      </c>
      <c r="E512" s="1" t="s">
        <v>3</v>
      </c>
      <c r="F512" s="1" t="s">
        <v>4</v>
      </c>
      <c r="G512" s="1" t="s">
        <v>6</v>
      </c>
      <c r="H512" s="1">
        <v>7.92</v>
      </c>
      <c r="I512" s="1">
        <v>2</v>
      </c>
      <c r="J512" s="13">
        <v>7693</v>
      </c>
      <c r="M512">
        <v>23478</v>
      </c>
    </row>
    <row r="513" spans="3:13" x14ac:dyDescent="0.25">
      <c r="C513" s="3">
        <v>508</v>
      </c>
      <c r="D513" s="1">
        <v>24</v>
      </c>
      <c r="E513" s="1" t="s">
        <v>0</v>
      </c>
      <c r="F513" s="1" t="s">
        <v>4</v>
      </c>
      <c r="G513" s="1" t="s">
        <v>7</v>
      </c>
      <c r="H513" s="1">
        <v>8.42</v>
      </c>
      <c r="I513" s="1">
        <v>0</v>
      </c>
      <c r="J513" s="13">
        <v>7611</v>
      </c>
      <c r="M513">
        <v>36027</v>
      </c>
    </row>
    <row r="514" spans="3:13" x14ac:dyDescent="0.25">
      <c r="C514" s="3">
        <v>509</v>
      </c>
      <c r="D514" s="1">
        <v>57</v>
      </c>
      <c r="E514" s="1" t="s">
        <v>0</v>
      </c>
      <c r="F514" s="1" t="s">
        <v>4</v>
      </c>
      <c r="G514" s="1" t="s">
        <v>2</v>
      </c>
      <c r="H514" s="1">
        <v>9.57</v>
      </c>
      <c r="I514" s="1">
        <v>0</v>
      </c>
      <c r="J514" s="13">
        <v>28638</v>
      </c>
      <c r="M514">
        <v>6773</v>
      </c>
    </row>
    <row r="515" spans="3:13" x14ac:dyDescent="0.25">
      <c r="C515" s="3">
        <v>510</v>
      </c>
      <c r="D515" s="1">
        <v>56</v>
      </c>
      <c r="E515" s="1" t="s">
        <v>3</v>
      </c>
      <c r="F515" s="1" t="s">
        <v>4</v>
      </c>
      <c r="G515" s="1" t="s">
        <v>7</v>
      </c>
      <c r="H515" s="1">
        <v>10.7</v>
      </c>
      <c r="I515" s="1">
        <v>1</v>
      </c>
      <c r="J515" s="13">
        <v>29408</v>
      </c>
      <c r="M515">
        <v>62288</v>
      </c>
    </row>
    <row r="516" spans="3:13" x14ac:dyDescent="0.25">
      <c r="C516" s="3">
        <v>511</v>
      </c>
      <c r="D516" s="1">
        <v>27</v>
      </c>
      <c r="E516" s="1" t="s">
        <v>3</v>
      </c>
      <c r="F516" s="1" t="s">
        <v>4</v>
      </c>
      <c r="G516" s="1" t="s">
        <v>5</v>
      </c>
      <c r="H516" s="1">
        <v>11.22</v>
      </c>
      <c r="I516" s="1">
        <v>0</v>
      </c>
      <c r="J516" s="13">
        <v>6246</v>
      </c>
      <c r="M516">
        <v>32373</v>
      </c>
    </row>
    <row r="517" spans="3:13" x14ac:dyDescent="0.25">
      <c r="C517" s="3">
        <v>512</v>
      </c>
      <c r="D517" s="1">
        <v>51</v>
      </c>
      <c r="E517" s="1" t="s">
        <v>3</v>
      </c>
      <c r="F517" s="1" t="s">
        <v>4</v>
      </c>
      <c r="G517" s="1" t="s">
        <v>7</v>
      </c>
      <c r="H517" s="1">
        <v>7.47</v>
      </c>
      <c r="I517" s="1">
        <v>0</v>
      </c>
      <c r="J517" s="13">
        <v>23403</v>
      </c>
      <c r="M517">
        <v>16666</v>
      </c>
    </row>
    <row r="518" spans="3:13" x14ac:dyDescent="0.25">
      <c r="C518" s="3">
        <v>513</v>
      </c>
      <c r="D518" s="1">
        <v>19</v>
      </c>
      <c r="E518" s="1" t="s">
        <v>3</v>
      </c>
      <c r="F518" s="1" t="s">
        <v>4</v>
      </c>
      <c r="G518" s="1" t="s">
        <v>2</v>
      </c>
      <c r="H518" s="1">
        <v>10.130000000000001</v>
      </c>
      <c r="I518" s="1">
        <v>0</v>
      </c>
      <c r="J518" s="13">
        <v>3141</v>
      </c>
      <c r="M518">
        <v>32860</v>
      </c>
    </row>
    <row r="519" spans="3:13" x14ac:dyDescent="0.25">
      <c r="C519" s="3">
        <v>514</v>
      </c>
      <c r="D519" s="1">
        <v>39</v>
      </c>
      <c r="E519" s="1" t="s">
        <v>3</v>
      </c>
      <c r="F519" s="1" t="s">
        <v>1</v>
      </c>
      <c r="G519" s="1" t="s">
        <v>2</v>
      </c>
      <c r="H519" s="1">
        <v>9.43</v>
      </c>
      <c r="I519" s="1">
        <v>1</v>
      </c>
      <c r="J519" s="13">
        <v>52705</v>
      </c>
      <c r="M519">
        <v>11167</v>
      </c>
    </row>
    <row r="520" spans="3:13" x14ac:dyDescent="0.25">
      <c r="C520" s="3">
        <v>515</v>
      </c>
      <c r="D520" s="1">
        <v>58</v>
      </c>
      <c r="E520" s="1" t="s">
        <v>3</v>
      </c>
      <c r="F520" s="1" t="s">
        <v>4</v>
      </c>
      <c r="G520" s="1" t="s">
        <v>2</v>
      </c>
      <c r="H520" s="1">
        <v>11.9</v>
      </c>
      <c r="I520" s="1">
        <v>0</v>
      </c>
      <c r="J520" s="13">
        <v>28407</v>
      </c>
      <c r="M520">
        <v>47015</v>
      </c>
    </row>
    <row r="521" spans="3:13" x14ac:dyDescent="0.25">
      <c r="C521" s="3">
        <v>516</v>
      </c>
      <c r="D521" s="1">
        <v>20</v>
      </c>
      <c r="E521" s="1" t="s">
        <v>3</v>
      </c>
      <c r="F521" s="1" t="s">
        <v>4</v>
      </c>
      <c r="G521" s="1" t="s">
        <v>5</v>
      </c>
      <c r="H521" s="1">
        <v>11.77</v>
      </c>
      <c r="I521" s="1">
        <v>1</v>
      </c>
      <c r="J521" s="13">
        <v>69311</v>
      </c>
      <c r="M521">
        <v>25353</v>
      </c>
    </row>
    <row r="522" spans="3:13" x14ac:dyDescent="0.25">
      <c r="C522" s="3">
        <v>517</v>
      </c>
      <c r="D522" s="1">
        <v>45</v>
      </c>
      <c r="E522" s="1" t="s">
        <v>3</v>
      </c>
      <c r="F522" s="1" t="s">
        <v>4</v>
      </c>
      <c r="G522" s="1" t="s">
        <v>6</v>
      </c>
      <c r="H522" s="1">
        <v>10.17</v>
      </c>
      <c r="I522" s="1">
        <v>2</v>
      </c>
      <c r="J522" s="13">
        <v>21034</v>
      </c>
      <c r="M522">
        <v>15309</v>
      </c>
    </row>
    <row r="523" spans="3:13" x14ac:dyDescent="0.25">
      <c r="C523" s="3">
        <v>518</v>
      </c>
      <c r="D523" s="1">
        <v>35</v>
      </c>
      <c r="E523" s="1" t="s">
        <v>0</v>
      </c>
      <c r="F523" s="1" t="s">
        <v>4</v>
      </c>
      <c r="G523" s="1" t="s">
        <v>2</v>
      </c>
      <c r="H523" s="1">
        <v>10.33</v>
      </c>
      <c r="I523" s="1">
        <v>1</v>
      </c>
      <c r="J523" s="13">
        <v>13102</v>
      </c>
      <c r="M523">
        <v>20631</v>
      </c>
    </row>
    <row r="524" spans="3:13" x14ac:dyDescent="0.25">
      <c r="C524" s="3">
        <v>519</v>
      </c>
      <c r="D524" s="1">
        <v>31</v>
      </c>
      <c r="E524" s="1" t="s">
        <v>3</v>
      </c>
      <c r="F524" s="1" t="s">
        <v>4</v>
      </c>
      <c r="G524" s="1" t="s">
        <v>7</v>
      </c>
      <c r="H524" s="1">
        <v>10.29</v>
      </c>
      <c r="I524" s="1">
        <v>0</v>
      </c>
      <c r="J524" s="13">
        <v>9644</v>
      </c>
      <c r="M524">
        <v>4281</v>
      </c>
    </row>
    <row r="525" spans="3:13" x14ac:dyDescent="0.25">
      <c r="C525" s="3">
        <v>520</v>
      </c>
      <c r="D525" s="1">
        <v>50</v>
      </c>
      <c r="E525" s="1" t="s">
        <v>0</v>
      </c>
      <c r="F525" s="1" t="s">
        <v>4</v>
      </c>
      <c r="G525" s="1" t="s">
        <v>7</v>
      </c>
      <c r="H525" s="1">
        <v>9.1199999999999992</v>
      </c>
      <c r="I525" s="1">
        <v>0</v>
      </c>
      <c r="J525" s="13">
        <v>64141</v>
      </c>
      <c r="M525">
        <v>31077</v>
      </c>
    </row>
    <row r="526" spans="3:13" x14ac:dyDescent="0.25">
      <c r="C526" s="3">
        <v>521</v>
      </c>
      <c r="D526" s="1">
        <v>32</v>
      </c>
      <c r="E526" s="1" t="s">
        <v>0</v>
      </c>
      <c r="F526" s="1" t="s">
        <v>4</v>
      </c>
      <c r="G526" s="1" t="s">
        <v>5</v>
      </c>
      <c r="H526" s="1">
        <v>14.74</v>
      </c>
      <c r="I526" s="1">
        <v>0</v>
      </c>
      <c r="J526" s="13">
        <v>9985</v>
      </c>
      <c r="M526">
        <v>24502</v>
      </c>
    </row>
    <row r="527" spans="3:13" x14ac:dyDescent="0.25">
      <c r="C527" s="3">
        <v>522</v>
      </c>
      <c r="D527" s="1">
        <v>51</v>
      </c>
      <c r="E527" s="1" t="s">
        <v>0</v>
      </c>
      <c r="F527" s="1" t="s">
        <v>4</v>
      </c>
      <c r="G527" s="1" t="s">
        <v>7</v>
      </c>
      <c r="H527" s="1">
        <v>11.3</v>
      </c>
      <c r="I527" s="1">
        <v>0</v>
      </c>
      <c r="J527" s="13">
        <v>24666</v>
      </c>
      <c r="M527">
        <v>26449</v>
      </c>
    </row>
    <row r="528" spans="3:13" x14ac:dyDescent="0.25">
      <c r="C528" s="3">
        <v>523</v>
      </c>
      <c r="D528" s="1">
        <v>38</v>
      </c>
      <c r="E528" s="1" t="s">
        <v>0</v>
      </c>
      <c r="F528" s="1" t="s">
        <v>4</v>
      </c>
      <c r="G528" s="1" t="s">
        <v>5</v>
      </c>
      <c r="H528" s="1">
        <v>12.58</v>
      </c>
      <c r="I528" s="1">
        <v>0</v>
      </c>
      <c r="J528" s="13">
        <v>13494</v>
      </c>
      <c r="M528">
        <v>20702</v>
      </c>
    </row>
    <row r="529" spans="3:13" x14ac:dyDescent="0.25">
      <c r="C529" s="3">
        <v>524</v>
      </c>
      <c r="D529" s="1">
        <v>42</v>
      </c>
      <c r="E529" s="1" t="s">
        <v>3</v>
      </c>
      <c r="F529" s="1" t="s">
        <v>1</v>
      </c>
      <c r="G529" s="1" t="s">
        <v>5</v>
      </c>
      <c r="H529" s="1">
        <v>8.69</v>
      </c>
      <c r="I529" s="1">
        <v>1</v>
      </c>
      <c r="J529" s="13">
        <v>95614</v>
      </c>
      <c r="M529">
        <v>21319</v>
      </c>
    </row>
    <row r="530" spans="3:13" x14ac:dyDescent="0.25">
      <c r="C530" s="3">
        <v>525</v>
      </c>
      <c r="D530" s="1">
        <v>18</v>
      </c>
      <c r="E530" s="1" t="s">
        <v>0</v>
      </c>
      <c r="F530" s="1" t="s">
        <v>4</v>
      </c>
      <c r="G530" s="1" t="s">
        <v>5</v>
      </c>
      <c r="H530" s="1">
        <v>11.29</v>
      </c>
      <c r="I530" s="1">
        <v>0</v>
      </c>
      <c r="J530" s="13">
        <v>28707</v>
      </c>
      <c r="M530">
        <v>30611</v>
      </c>
    </row>
    <row r="531" spans="3:13" x14ac:dyDescent="0.25">
      <c r="C531" s="3">
        <v>526</v>
      </c>
      <c r="D531" s="1">
        <v>19</v>
      </c>
      <c r="E531" s="1" t="s">
        <v>0</v>
      </c>
      <c r="F531" s="1" t="s">
        <v>4</v>
      </c>
      <c r="G531" s="1" t="s">
        <v>6</v>
      </c>
      <c r="H531" s="1">
        <v>10.199999999999999</v>
      </c>
      <c r="I531" s="1">
        <v>2</v>
      </c>
      <c r="J531" s="13">
        <v>60149</v>
      </c>
      <c r="M531">
        <v>8526</v>
      </c>
    </row>
    <row r="532" spans="3:13" x14ac:dyDescent="0.25">
      <c r="C532" s="3">
        <v>527</v>
      </c>
      <c r="D532" s="1">
        <v>51</v>
      </c>
      <c r="E532" s="1" t="s">
        <v>0</v>
      </c>
      <c r="F532" s="1" t="s">
        <v>4</v>
      </c>
      <c r="G532" s="1" t="s">
        <v>2</v>
      </c>
      <c r="H532" s="1">
        <v>8.6</v>
      </c>
      <c r="I532" s="1">
        <v>1</v>
      </c>
      <c r="J532" s="13">
        <v>24653</v>
      </c>
      <c r="M532">
        <v>10147</v>
      </c>
    </row>
    <row r="533" spans="3:13" x14ac:dyDescent="0.25">
      <c r="C533" s="3">
        <v>528</v>
      </c>
      <c r="D533" s="1">
        <v>46</v>
      </c>
      <c r="E533" s="1" t="s">
        <v>3</v>
      </c>
      <c r="F533" s="1" t="s">
        <v>4</v>
      </c>
      <c r="G533" s="1" t="s">
        <v>7</v>
      </c>
      <c r="H533" s="1">
        <v>13.14</v>
      </c>
      <c r="I533" s="1">
        <v>1</v>
      </c>
      <c r="J533" s="13">
        <v>20857</v>
      </c>
      <c r="M533">
        <v>65981</v>
      </c>
    </row>
    <row r="534" spans="3:13" x14ac:dyDescent="0.25">
      <c r="C534" s="3">
        <v>529</v>
      </c>
      <c r="D534" s="1">
        <v>18</v>
      </c>
      <c r="E534" s="1" t="s">
        <v>3</v>
      </c>
      <c r="F534" s="1" t="s">
        <v>4</v>
      </c>
      <c r="G534" s="1" t="s">
        <v>7</v>
      </c>
      <c r="H534" s="1">
        <v>8.49</v>
      </c>
      <c r="I534" s="1">
        <v>0</v>
      </c>
      <c r="J534" s="13">
        <v>4270</v>
      </c>
      <c r="M534">
        <v>35986</v>
      </c>
    </row>
    <row r="535" spans="3:13" x14ac:dyDescent="0.25">
      <c r="C535" s="3">
        <v>530</v>
      </c>
      <c r="D535" s="1">
        <v>57</v>
      </c>
      <c r="E535" s="1" t="s">
        <v>3</v>
      </c>
      <c r="F535" s="1" t="s">
        <v>1</v>
      </c>
      <c r="G535" s="1" t="s">
        <v>5</v>
      </c>
      <c r="H535" s="1">
        <v>14.04</v>
      </c>
      <c r="I535" s="1">
        <v>1</v>
      </c>
      <c r="J535" s="13">
        <v>121689</v>
      </c>
      <c r="M535">
        <v>16089</v>
      </c>
    </row>
    <row r="536" spans="3:13" x14ac:dyDescent="0.25">
      <c r="C536" s="3">
        <v>531</v>
      </c>
      <c r="D536" s="1">
        <v>62</v>
      </c>
      <c r="E536" s="1" t="s">
        <v>0</v>
      </c>
      <c r="F536" s="1" t="s">
        <v>4</v>
      </c>
      <c r="G536" s="1" t="s">
        <v>7</v>
      </c>
      <c r="H536" s="1">
        <v>10.58</v>
      </c>
      <c r="I536" s="1">
        <v>0</v>
      </c>
      <c r="J536" s="13">
        <v>35109</v>
      </c>
      <c r="M536">
        <v>55481</v>
      </c>
    </row>
    <row r="537" spans="3:13" x14ac:dyDescent="0.25">
      <c r="C537" s="3">
        <v>532</v>
      </c>
      <c r="D537" s="1">
        <v>59</v>
      </c>
      <c r="E537" s="1" t="s">
        <v>3</v>
      </c>
      <c r="F537" s="1" t="s">
        <v>4</v>
      </c>
      <c r="G537" s="1" t="s">
        <v>5</v>
      </c>
      <c r="H537" s="1">
        <v>9.9</v>
      </c>
      <c r="I537" s="1">
        <v>2</v>
      </c>
      <c r="J537" s="13">
        <v>32315</v>
      </c>
      <c r="M537">
        <v>12871</v>
      </c>
    </row>
    <row r="538" spans="3:13" x14ac:dyDescent="0.25">
      <c r="C538" s="3">
        <v>533</v>
      </c>
      <c r="D538" s="1">
        <v>37</v>
      </c>
      <c r="E538" s="1" t="s">
        <v>3</v>
      </c>
      <c r="F538" s="1" t="s">
        <v>4</v>
      </c>
      <c r="G538" s="1" t="s">
        <v>5</v>
      </c>
      <c r="H538" s="1">
        <v>12.06</v>
      </c>
      <c r="I538" s="1">
        <v>0</v>
      </c>
      <c r="J538" s="13">
        <v>48037</v>
      </c>
      <c r="M538">
        <v>2841</v>
      </c>
    </row>
    <row r="539" spans="3:13" x14ac:dyDescent="0.25">
      <c r="C539" s="3">
        <v>534</v>
      </c>
      <c r="D539" s="1">
        <v>64</v>
      </c>
      <c r="E539" s="1" t="s">
        <v>3</v>
      </c>
      <c r="F539" s="1" t="s">
        <v>4</v>
      </c>
      <c r="G539" s="1" t="s">
        <v>5</v>
      </c>
      <c r="H539" s="1">
        <v>13.49</v>
      </c>
      <c r="I539" s="1">
        <v>0</v>
      </c>
      <c r="J539" s="13">
        <v>34578</v>
      </c>
      <c r="M539">
        <v>21759</v>
      </c>
    </row>
    <row r="540" spans="3:13" x14ac:dyDescent="0.25">
      <c r="C540" s="3">
        <v>535</v>
      </c>
      <c r="D540" s="1">
        <v>38</v>
      </c>
      <c r="E540" s="1" t="s">
        <v>3</v>
      </c>
      <c r="F540" s="1" t="s">
        <v>4</v>
      </c>
      <c r="G540" s="1" t="s">
        <v>7</v>
      </c>
      <c r="H540" s="1">
        <v>9.34</v>
      </c>
      <c r="I540" s="1">
        <v>1</v>
      </c>
      <c r="J540" s="13">
        <v>15168</v>
      </c>
      <c r="M540">
        <v>16251</v>
      </c>
    </row>
    <row r="541" spans="3:13" x14ac:dyDescent="0.25">
      <c r="C541" s="3">
        <v>536</v>
      </c>
      <c r="D541" s="1">
        <v>33</v>
      </c>
      <c r="E541" s="1" t="s">
        <v>0</v>
      </c>
      <c r="F541" s="1" t="s">
        <v>4</v>
      </c>
      <c r="G541" s="1" t="s">
        <v>2</v>
      </c>
      <c r="H541" s="1">
        <v>12.97</v>
      </c>
      <c r="I541" s="1">
        <v>3</v>
      </c>
      <c r="J541" s="13">
        <v>14931</v>
      </c>
      <c r="M541">
        <v>12094</v>
      </c>
    </row>
    <row r="542" spans="3:13" x14ac:dyDescent="0.25">
      <c r="C542" s="3">
        <v>537</v>
      </c>
      <c r="D542" s="1">
        <v>46</v>
      </c>
      <c r="E542" s="1" t="s">
        <v>0</v>
      </c>
      <c r="F542" s="1" t="s">
        <v>4</v>
      </c>
      <c r="G542" s="1" t="s">
        <v>2</v>
      </c>
      <c r="H542" s="1">
        <v>10.07</v>
      </c>
      <c r="I542" s="1">
        <v>2</v>
      </c>
      <c r="J542" s="13">
        <v>22063</v>
      </c>
      <c r="M542">
        <v>9859</v>
      </c>
    </row>
    <row r="543" spans="3:13" x14ac:dyDescent="0.25">
      <c r="C543" s="3">
        <v>538</v>
      </c>
      <c r="D543" s="1">
        <v>46</v>
      </c>
      <c r="E543" s="1" t="s">
        <v>0</v>
      </c>
      <c r="F543" s="1" t="s">
        <v>4</v>
      </c>
      <c r="G543" s="1" t="s">
        <v>5</v>
      </c>
      <c r="H543" s="1">
        <v>9.35</v>
      </c>
      <c r="I543" s="1">
        <v>1</v>
      </c>
      <c r="J543" s="13">
        <v>20583</v>
      </c>
      <c r="M543">
        <v>10999</v>
      </c>
    </row>
    <row r="544" spans="3:13" x14ac:dyDescent="0.25">
      <c r="C544" s="3">
        <v>539</v>
      </c>
      <c r="D544" s="1">
        <v>53</v>
      </c>
      <c r="E544" s="1" t="s">
        <v>3</v>
      </c>
      <c r="F544" s="1" t="s">
        <v>4</v>
      </c>
      <c r="G544" s="1" t="s">
        <v>5</v>
      </c>
      <c r="H544" s="1">
        <v>10.45</v>
      </c>
      <c r="I544" s="1">
        <v>0</v>
      </c>
      <c r="J544" s="13">
        <v>68365</v>
      </c>
      <c r="M544">
        <v>15463</v>
      </c>
    </row>
    <row r="545" spans="3:13" x14ac:dyDescent="0.25">
      <c r="C545" s="3">
        <v>540</v>
      </c>
      <c r="D545" s="1">
        <v>34</v>
      </c>
      <c r="E545" s="1" t="s">
        <v>0</v>
      </c>
      <c r="F545" s="1" t="s">
        <v>4</v>
      </c>
      <c r="G545" s="1" t="s">
        <v>2</v>
      </c>
      <c r="H545" s="1">
        <v>12.67</v>
      </c>
      <c r="I545" s="1">
        <v>3</v>
      </c>
      <c r="J545" s="13">
        <v>15491</v>
      </c>
      <c r="M545">
        <v>18057</v>
      </c>
    </row>
    <row r="546" spans="3:13" x14ac:dyDescent="0.25">
      <c r="C546" s="3">
        <v>541</v>
      </c>
      <c r="D546" s="1">
        <v>20</v>
      </c>
      <c r="E546" s="1" t="s">
        <v>0</v>
      </c>
      <c r="F546" s="1" t="s">
        <v>4</v>
      </c>
      <c r="G546" s="1" t="s">
        <v>5</v>
      </c>
      <c r="H546" s="1">
        <v>10.6</v>
      </c>
      <c r="I546" s="1">
        <v>2</v>
      </c>
      <c r="J546" s="13">
        <v>7641</v>
      </c>
      <c r="M546">
        <v>31215</v>
      </c>
    </row>
    <row r="547" spans="3:13" x14ac:dyDescent="0.25">
      <c r="C547" s="3">
        <v>542</v>
      </c>
      <c r="D547" s="1">
        <v>63</v>
      </c>
      <c r="E547" s="1" t="s">
        <v>0</v>
      </c>
      <c r="F547" s="1" t="s">
        <v>4</v>
      </c>
      <c r="G547" s="1" t="s">
        <v>5</v>
      </c>
      <c r="H547" s="1">
        <v>12.1</v>
      </c>
      <c r="I547" s="1">
        <v>0</v>
      </c>
      <c r="J547" s="13">
        <v>34718</v>
      </c>
      <c r="M547">
        <v>30909</v>
      </c>
    </row>
    <row r="548" spans="3:13" x14ac:dyDescent="0.25">
      <c r="C548" s="3">
        <v>543</v>
      </c>
      <c r="D548" s="1">
        <v>54</v>
      </c>
      <c r="E548" s="1" t="s">
        <v>0</v>
      </c>
      <c r="F548" s="1" t="s">
        <v>1</v>
      </c>
      <c r="G548" s="1" t="s">
        <v>5</v>
      </c>
      <c r="H548" s="1">
        <v>15.8</v>
      </c>
      <c r="I548" s="1">
        <v>0</v>
      </c>
      <c r="J548" s="13">
        <v>159426</v>
      </c>
      <c r="M548">
        <v>25392</v>
      </c>
    </row>
    <row r="549" spans="3:13" x14ac:dyDescent="0.25">
      <c r="C549" s="3">
        <v>544</v>
      </c>
      <c r="D549" s="1">
        <v>54</v>
      </c>
      <c r="E549" s="1" t="s">
        <v>3</v>
      </c>
      <c r="F549" s="1" t="s">
        <v>4</v>
      </c>
      <c r="G549" s="1" t="s">
        <v>6</v>
      </c>
      <c r="H549" s="1">
        <v>10.07</v>
      </c>
      <c r="I549" s="1">
        <v>0</v>
      </c>
      <c r="J549" s="13">
        <v>25579</v>
      </c>
      <c r="M549">
        <v>6463</v>
      </c>
    </row>
    <row r="550" spans="3:13" x14ac:dyDescent="0.25">
      <c r="C550" s="3">
        <v>545</v>
      </c>
      <c r="D550" s="1">
        <v>49</v>
      </c>
      <c r="E550" s="1" t="s">
        <v>3</v>
      </c>
      <c r="F550" s="1" t="s">
        <v>1</v>
      </c>
      <c r="G550" s="1" t="s">
        <v>6</v>
      </c>
      <c r="H550" s="1">
        <v>8.61</v>
      </c>
      <c r="I550" s="1">
        <v>2</v>
      </c>
      <c r="J550" s="13">
        <v>59518</v>
      </c>
      <c r="M550">
        <v>3106</v>
      </c>
    </row>
    <row r="551" spans="3:13" x14ac:dyDescent="0.25">
      <c r="C551" s="3">
        <v>546</v>
      </c>
      <c r="D551" s="1">
        <v>28</v>
      </c>
      <c r="E551" s="1" t="s">
        <v>3</v>
      </c>
      <c r="F551" s="1" t="s">
        <v>4</v>
      </c>
      <c r="G551" s="1" t="s">
        <v>7</v>
      </c>
      <c r="H551" s="1">
        <v>11.81</v>
      </c>
      <c r="I551" s="1">
        <v>0</v>
      </c>
      <c r="J551" s="13">
        <v>8172</v>
      </c>
      <c r="M551">
        <v>24659</v>
      </c>
    </row>
    <row r="552" spans="3:13" x14ac:dyDescent="0.25">
      <c r="C552" s="3">
        <v>547</v>
      </c>
      <c r="D552" s="1">
        <v>54</v>
      </c>
      <c r="E552" s="1" t="s">
        <v>0</v>
      </c>
      <c r="F552" s="1" t="s">
        <v>4</v>
      </c>
      <c r="G552" s="1" t="s">
        <v>2</v>
      </c>
      <c r="H552" s="1">
        <v>15.57</v>
      </c>
      <c r="I552" s="1">
        <v>2</v>
      </c>
      <c r="J552" s="13">
        <v>28846</v>
      </c>
      <c r="M552">
        <v>11915</v>
      </c>
    </row>
    <row r="553" spans="3:13" x14ac:dyDescent="0.25">
      <c r="C553" s="3">
        <v>548</v>
      </c>
      <c r="D553" s="1">
        <v>25</v>
      </c>
      <c r="E553" s="1" t="s">
        <v>0</v>
      </c>
      <c r="F553" s="1" t="s">
        <v>4</v>
      </c>
      <c r="G553" s="1" t="s">
        <v>7</v>
      </c>
      <c r="H553" s="1">
        <v>9.5299999999999994</v>
      </c>
      <c r="I553" s="1">
        <v>0</v>
      </c>
      <c r="J553" s="13">
        <v>8034</v>
      </c>
      <c r="M553">
        <v>28111</v>
      </c>
    </row>
    <row r="554" spans="3:13" x14ac:dyDescent="0.25">
      <c r="C554" s="3">
        <v>549</v>
      </c>
      <c r="D554" s="1">
        <v>43</v>
      </c>
      <c r="E554" s="1" t="s">
        <v>0</v>
      </c>
      <c r="F554" s="1" t="s">
        <v>1</v>
      </c>
      <c r="G554" s="1" t="s">
        <v>5</v>
      </c>
      <c r="H554" s="1">
        <v>15.4</v>
      </c>
      <c r="I554" s="1">
        <v>0</v>
      </c>
      <c r="J554" s="13">
        <v>114658</v>
      </c>
      <c r="M554">
        <v>19324</v>
      </c>
    </row>
    <row r="555" spans="3:13" x14ac:dyDescent="0.25">
      <c r="C555" s="3">
        <v>550</v>
      </c>
      <c r="D555" s="1">
        <v>63</v>
      </c>
      <c r="E555" s="1" t="s">
        <v>3</v>
      </c>
      <c r="F555" s="1" t="s">
        <v>4</v>
      </c>
      <c r="G555" s="1" t="s">
        <v>2</v>
      </c>
      <c r="H555" s="1">
        <v>10.27</v>
      </c>
      <c r="I555" s="1">
        <v>0</v>
      </c>
      <c r="J555" s="13">
        <v>33476</v>
      </c>
      <c r="M555">
        <v>13597</v>
      </c>
    </row>
    <row r="556" spans="3:13" x14ac:dyDescent="0.25">
      <c r="C556" s="3">
        <v>551</v>
      </c>
      <c r="D556" s="1">
        <v>32</v>
      </c>
      <c r="E556" s="1" t="s">
        <v>0</v>
      </c>
      <c r="F556" s="1" t="s">
        <v>4</v>
      </c>
      <c r="G556" s="1" t="s">
        <v>5</v>
      </c>
      <c r="H556" s="1">
        <v>9.64</v>
      </c>
      <c r="I556" s="1">
        <v>0</v>
      </c>
      <c r="J556" s="13">
        <v>9932</v>
      </c>
      <c r="M556">
        <v>65591</v>
      </c>
    </row>
    <row r="557" spans="3:13" x14ac:dyDescent="0.25">
      <c r="C557" s="3">
        <v>552</v>
      </c>
      <c r="D557" s="1">
        <v>62</v>
      </c>
      <c r="E557" s="1" t="s">
        <v>3</v>
      </c>
      <c r="F557" s="1" t="s">
        <v>4</v>
      </c>
      <c r="G557" s="1" t="s">
        <v>2</v>
      </c>
      <c r="H557" s="1">
        <v>7.13</v>
      </c>
      <c r="I557" s="1">
        <v>0</v>
      </c>
      <c r="J557" s="13">
        <v>32393</v>
      </c>
      <c r="M557">
        <v>5260</v>
      </c>
    </row>
    <row r="558" spans="3:13" x14ac:dyDescent="0.25">
      <c r="C558" s="3">
        <v>553</v>
      </c>
      <c r="D558" s="1">
        <v>52</v>
      </c>
      <c r="E558" s="1" t="s">
        <v>0</v>
      </c>
      <c r="F558" s="1" t="s">
        <v>4</v>
      </c>
      <c r="G558" s="1" t="s">
        <v>6</v>
      </c>
      <c r="H558" s="1">
        <v>10.58</v>
      </c>
      <c r="I558" s="1">
        <v>2</v>
      </c>
      <c r="J558" s="13">
        <v>27969</v>
      </c>
      <c r="M558">
        <v>20170</v>
      </c>
    </row>
    <row r="559" spans="3:13" x14ac:dyDescent="0.25">
      <c r="C559" s="3">
        <v>554</v>
      </c>
      <c r="D559" s="1">
        <v>25</v>
      </c>
      <c r="E559" s="1" t="s">
        <v>0</v>
      </c>
      <c r="F559" s="1" t="s">
        <v>4</v>
      </c>
      <c r="G559" s="1" t="s">
        <v>7</v>
      </c>
      <c r="H559" s="1">
        <v>13.78</v>
      </c>
      <c r="I559" s="1">
        <v>0</v>
      </c>
      <c r="J559" s="13">
        <v>44697</v>
      </c>
      <c r="M559">
        <v>5906</v>
      </c>
    </row>
    <row r="560" spans="3:13" x14ac:dyDescent="0.25">
      <c r="C560" s="3">
        <v>555</v>
      </c>
      <c r="D560" s="1">
        <v>28</v>
      </c>
      <c r="E560" s="1" t="s">
        <v>3</v>
      </c>
      <c r="F560" s="1" t="s">
        <v>4</v>
      </c>
      <c r="G560" s="1" t="s">
        <v>2</v>
      </c>
      <c r="H560" s="1">
        <v>7.93</v>
      </c>
      <c r="I560" s="1">
        <v>2</v>
      </c>
      <c r="J560" s="13">
        <v>9619</v>
      </c>
      <c r="M560">
        <v>5882</v>
      </c>
    </row>
    <row r="561" spans="3:13" x14ac:dyDescent="0.25">
      <c r="C561" s="3">
        <v>556</v>
      </c>
      <c r="D561" s="1">
        <v>46</v>
      </c>
      <c r="E561" s="1" t="s">
        <v>3</v>
      </c>
      <c r="F561" s="1" t="s">
        <v>4</v>
      </c>
      <c r="G561" s="1" t="s">
        <v>7</v>
      </c>
      <c r="H561" s="1">
        <v>11.15</v>
      </c>
      <c r="I561" s="1">
        <v>1</v>
      </c>
      <c r="J561" s="13">
        <v>20836</v>
      </c>
      <c r="M561">
        <v>8945</v>
      </c>
    </row>
    <row r="562" spans="3:13" x14ac:dyDescent="0.25">
      <c r="C562" s="3">
        <v>557</v>
      </c>
      <c r="D562" s="1">
        <v>34</v>
      </c>
      <c r="E562" s="1" t="s">
        <v>3</v>
      </c>
      <c r="F562" s="1" t="s">
        <v>4</v>
      </c>
      <c r="G562" s="1" t="s">
        <v>5</v>
      </c>
      <c r="H562" s="1">
        <v>11.4</v>
      </c>
      <c r="I562" s="1">
        <v>0</v>
      </c>
      <c r="J562" s="13">
        <v>9838</v>
      </c>
      <c r="M562">
        <v>8003</v>
      </c>
    </row>
    <row r="563" spans="3:13" x14ac:dyDescent="0.25">
      <c r="C563" s="3">
        <v>558</v>
      </c>
      <c r="D563" s="1">
        <v>35</v>
      </c>
      <c r="E563" s="1" t="s">
        <v>0</v>
      </c>
      <c r="F563" s="1" t="s">
        <v>1</v>
      </c>
      <c r="G563" s="1" t="s">
        <v>6</v>
      </c>
      <c r="H563" s="1">
        <v>11.37</v>
      </c>
      <c r="I563" s="1">
        <v>3</v>
      </c>
      <c r="J563" s="13">
        <v>99959</v>
      </c>
      <c r="M563">
        <v>72966</v>
      </c>
    </row>
    <row r="564" spans="3:13" x14ac:dyDescent="0.25">
      <c r="C564" s="3">
        <v>559</v>
      </c>
      <c r="D564" s="1">
        <v>19</v>
      </c>
      <c r="E564" s="1" t="s">
        <v>3</v>
      </c>
      <c r="F564" s="1" t="s">
        <v>4</v>
      </c>
      <c r="G564" s="1" t="s">
        <v>6</v>
      </c>
      <c r="H564" s="1">
        <v>11.84</v>
      </c>
      <c r="I564" s="1">
        <v>0</v>
      </c>
      <c r="J564" s="13">
        <v>4116</v>
      </c>
      <c r="M564">
        <v>27441</v>
      </c>
    </row>
    <row r="565" spans="3:13" x14ac:dyDescent="0.25">
      <c r="C565" s="3">
        <v>560</v>
      </c>
      <c r="D565" s="1">
        <v>46</v>
      </c>
      <c r="E565" s="1" t="s">
        <v>0</v>
      </c>
      <c r="F565" s="1" t="s">
        <v>4</v>
      </c>
      <c r="G565" s="1" t="s">
        <v>6</v>
      </c>
      <c r="H565" s="1">
        <v>6.65</v>
      </c>
      <c r="I565" s="1">
        <v>2</v>
      </c>
      <c r="J565" s="13">
        <v>22985</v>
      </c>
      <c r="M565">
        <v>8752</v>
      </c>
    </row>
    <row r="566" spans="3:13" x14ac:dyDescent="0.25">
      <c r="C566" s="3">
        <v>561</v>
      </c>
      <c r="D566" s="1">
        <v>54</v>
      </c>
      <c r="E566" s="1" t="s">
        <v>0</v>
      </c>
      <c r="F566" s="1" t="s">
        <v>4</v>
      </c>
      <c r="G566" s="1" t="s">
        <v>7</v>
      </c>
      <c r="H566" s="1">
        <v>10.89</v>
      </c>
      <c r="I566" s="1">
        <v>0</v>
      </c>
      <c r="J566" s="13">
        <v>27310</v>
      </c>
      <c r="M566">
        <v>5051</v>
      </c>
    </row>
    <row r="567" spans="3:13" x14ac:dyDescent="0.25">
      <c r="C567" s="3">
        <v>562</v>
      </c>
      <c r="D567" s="1">
        <v>27</v>
      </c>
      <c r="E567" s="1" t="s">
        <v>3</v>
      </c>
      <c r="F567" s="1" t="s">
        <v>4</v>
      </c>
      <c r="G567" s="1" t="s">
        <v>2</v>
      </c>
      <c r="H567" s="1">
        <v>10.17</v>
      </c>
      <c r="I567" s="1">
        <v>0</v>
      </c>
      <c r="J567" s="13">
        <v>6235</v>
      </c>
      <c r="M567">
        <v>23854</v>
      </c>
    </row>
    <row r="568" spans="3:13" x14ac:dyDescent="0.25">
      <c r="C568" s="3">
        <v>563</v>
      </c>
      <c r="D568" s="1">
        <v>50</v>
      </c>
      <c r="E568" s="1" t="s">
        <v>3</v>
      </c>
      <c r="F568" s="1" t="s">
        <v>4</v>
      </c>
      <c r="G568" s="1" t="s">
        <v>5</v>
      </c>
      <c r="H568" s="1">
        <v>14.92</v>
      </c>
      <c r="I568" s="1">
        <v>1</v>
      </c>
      <c r="J568" s="13">
        <v>22647</v>
      </c>
      <c r="M568">
        <v>23761</v>
      </c>
    </row>
    <row r="569" spans="3:13" x14ac:dyDescent="0.25">
      <c r="C569" s="3">
        <v>564</v>
      </c>
      <c r="D569" s="1">
        <v>18</v>
      </c>
      <c r="E569" s="1" t="s">
        <v>0</v>
      </c>
      <c r="F569" s="1" t="s">
        <v>4</v>
      </c>
      <c r="G569" s="1" t="s">
        <v>5</v>
      </c>
      <c r="H569" s="1">
        <v>10.71</v>
      </c>
      <c r="I569" s="1">
        <v>2</v>
      </c>
      <c r="J569" s="13">
        <v>7003</v>
      </c>
      <c r="M569">
        <v>13463</v>
      </c>
    </row>
    <row r="570" spans="3:13" x14ac:dyDescent="0.25">
      <c r="C570" s="3">
        <v>565</v>
      </c>
      <c r="D570" s="1">
        <v>19</v>
      </c>
      <c r="E570" s="1" t="s">
        <v>0</v>
      </c>
      <c r="F570" s="1" t="s">
        <v>4</v>
      </c>
      <c r="G570" s="1" t="s">
        <v>6</v>
      </c>
      <c r="H570" s="1">
        <v>10.17</v>
      </c>
      <c r="I570" s="1">
        <v>0</v>
      </c>
      <c r="J570" s="13">
        <v>5321</v>
      </c>
      <c r="M570">
        <v>22327</v>
      </c>
    </row>
    <row r="571" spans="3:13" x14ac:dyDescent="0.25">
      <c r="C571" s="3">
        <v>566</v>
      </c>
      <c r="D571" s="1">
        <v>38</v>
      </c>
      <c r="E571" s="1" t="s">
        <v>0</v>
      </c>
      <c r="F571" s="1" t="s">
        <v>4</v>
      </c>
      <c r="G571" s="1" t="s">
        <v>6</v>
      </c>
      <c r="H571" s="1">
        <v>13.52</v>
      </c>
      <c r="I571" s="1">
        <v>1</v>
      </c>
      <c r="J571" s="13">
        <v>15934</v>
      </c>
      <c r="M571">
        <v>13438</v>
      </c>
    </row>
    <row r="572" spans="3:13" x14ac:dyDescent="0.25">
      <c r="C572" s="3">
        <v>567</v>
      </c>
      <c r="D572" s="1">
        <v>41</v>
      </c>
      <c r="E572" s="1" t="s">
        <v>3</v>
      </c>
      <c r="F572" s="1" t="s">
        <v>4</v>
      </c>
      <c r="G572" s="1" t="s">
        <v>6</v>
      </c>
      <c r="H572" s="1">
        <v>10.199999999999999</v>
      </c>
      <c r="I572" s="1">
        <v>2</v>
      </c>
      <c r="J572" s="13">
        <v>18142</v>
      </c>
      <c r="M572">
        <v>25661</v>
      </c>
    </row>
    <row r="573" spans="3:13" x14ac:dyDescent="0.25">
      <c r="C573" s="3">
        <v>568</v>
      </c>
      <c r="D573" s="1">
        <v>49</v>
      </c>
      <c r="E573" s="1" t="s">
        <v>0</v>
      </c>
      <c r="F573" s="1" t="s">
        <v>4</v>
      </c>
      <c r="G573" s="1" t="s">
        <v>2</v>
      </c>
      <c r="H573" s="1">
        <v>10.63</v>
      </c>
      <c r="I573" s="1">
        <v>5</v>
      </c>
      <c r="J573" s="13">
        <v>28882</v>
      </c>
      <c r="M573">
        <v>15283</v>
      </c>
    </row>
    <row r="574" spans="3:13" x14ac:dyDescent="0.25">
      <c r="C574" s="3">
        <v>569</v>
      </c>
      <c r="D574" s="1">
        <v>48</v>
      </c>
      <c r="E574" s="1" t="s">
        <v>3</v>
      </c>
      <c r="F574" s="1" t="s">
        <v>1</v>
      </c>
      <c r="G574" s="1" t="s">
        <v>6</v>
      </c>
      <c r="H574" s="1">
        <v>13.52</v>
      </c>
      <c r="I574" s="1">
        <v>2</v>
      </c>
      <c r="J574" s="13">
        <v>114255</v>
      </c>
      <c r="M574">
        <v>13673</v>
      </c>
    </row>
    <row r="575" spans="3:13" x14ac:dyDescent="0.25">
      <c r="C575" s="3">
        <v>570</v>
      </c>
      <c r="D575" s="1">
        <v>31</v>
      </c>
      <c r="E575" s="1" t="s">
        <v>0</v>
      </c>
      <c r="F575" s="1" t="s">
        <v>4</v>
      </c>
      <c r="G575" s="1" t="s">
        <v>2</v>
      </c>
      <c r="H575" s="1">
        <v>9.6999999999999993</v>
      </c>
      <c r="I575" s="1">
        <v>0</v>
      </c>
      <c r="J575" s="13">
        <v>9403</v>
      </c>
      <c r="M575">
        <v>4319</v>
      </c>
    </row>
    <row r="576" spans="3:13" x14ac:dyDescent="0.25">
      <c r="C576" s="3">
        <v>571</v>
      </c>
      <c r="D576" s="1">
        <v>18</v>
      </c>
      <c r="E576" s="1" t="s">
        <v>0</v>
      </c>
      <c r="F576" s="1" t="s">
        <v>4</v>
      </c>
      <c r="G576" s="1" t="s">
        <v>5</v>
      </c>
      <c r="H576" s="1">
        <v>12.43</v>
      </c>
      <c r="I576" s="1">
        <v>1</v>
      </c>
      <c r="J576" s="13">
        <v>5549</v>
      </c>
      <c r="M576">
        <v>25268</v>
      </c>
    </row>
    <row r="577" spans="3:13" x14ac:dyDescent="0.25">
      <c r="C577" s="3">
        <v>572</v>
      </c>
      <c r="D577" s="1">
        <v>30</v>
      </c>
      <c r="E577" s="1" t="s">
        <v>0</v>
      </c>
      <c r="F577" s="1" t="s">
        <v>4</v>
      </c>
      <c r="G577" s="1" t="s">
        <v>5</v>
      </c>
      <c r="H577" s="1">
        <v>14.37</v>
      </c>
      <c r="I577" s="1">
        <v>2</v>
      </c>
      <c r="J577" s="13">
        <v>11884</v>
      </c>
      <c r="M577">
        <v>20777</v>
      </c>
    </row>
    <row r="578" spans="3:13" x14ac:dyDescent="0.25">
      <c r="C578" s="3">
        <v>573</v>
      </c>
      <c r="D578" s="1">
        <v>62</v>
      </c>
      <c r="E578" s="1" t="s">
        <v>0</v>
      </c>
      <c r="F578" s="1" t="s">
        <v>4</v>
      </c>
      <c r="G578" s="1" t="s">
        <v>7</v>
      </c>
      <c r="H578" s="1">
        <v>12.29</v>
      </c>
      <c r="I578" s="1">
        <v>1</v>
      </c>
      <c r="J578" s="13">
        <v>79050</v>
      </c>
      <c r="M578">
        <v>4961</v>
      </c>
    </row>
    <row r="579" spans="3:13" x14ac:dyDescent="0.25">
      <c r="C579" s="3">
        <v>574</v>
      </c>
      <c r="D579" s="1">
        <v>57</v>
      </c>
      <c r="E579" s="1" t="s">
        <v>0</v>
      </c>
      <c r="F579" s="1" t="s">
        <v>4</v>
      </c>
      <c r="G579" s="1" t="s">
        <v>7</v>
      </c>
      <c r="H579" s="1">
        <v>11.43</v>
      </c>
      <c r="I579" s="1">
        <v>2</v>
      </c>
      <c r="J579" s="13">
        <v>33060</v>
      </c>
      <c r="M579">
        <v>6144</v>
      </c>
    </row>
    <row r="580" spans="3:13" x14ac:dyDescent="0.25">
      <c r="C580" s="3">
        <v>575</v>
      </c>
      <c r="D580" s="1">
        <v>58</v>
      </c>
      <c r="E580" s="1" t="s">
        <v>0</v>
      </c>
      <c r="F580" s="1" t="s">
        <v>4</v>
      </c>
      <c r="G580" s="1" t="s">
        <v>6</v>
      </c>
      <c r="H580" s="1">
        <v>9.06</v>
      </c>
      <c r="I580" s="1">
        <v>0</v>
      </c>
      <c r="J580" s="13">
        <v>30557</v>
      </c>
      <c r="M580">
        <v>30367</v>
      </c>
    </row>
    <row r="581" spans="3:13" x14ac:dyDescent="0.25">
      <c r="C581" s="3">
        <v>576</v>
      </c>
      <c r="D581" s="1">
        <v>22</v>
      </c>
      <c r="E581" s="1" t="s">
        <v>3</v>
      </c>
      <c r="F581" s="1" t="s">
        <v>4</v>
      </c>
      <c r="G581" s="1" t="s">
        <v>5</v>
      </c>
      <c r="H581" s="1">
        <v>8.9499999999999993</v>
      </c>
      <c r="I581" s="1">
        <v>0</v>
      </c>
      <c r="J581" s="13">
        <v>4162</v>
      </c>
      <c r="M581">
        <v>23917</v>
      </c>
    </row>
    <row r="582" spans="3:13" x14ac:dyDescent="0.25">
      <c r="C582" s="3">
        <v>577</v>
      </c>
      <c r="D582" s="1">
        <v>31</v>
      </c>
      <c r="E582" s="1" t="s">
        <v>0</v>
      </c>
      <c r="F582" s="1" t="s">
        <v>1</v>
      </c>
      <c r="G582" s="1" t="s">
        <v>7</v>
      </c>
      <c r="H582" s="1">
        <v>12.7</v>
      </c>
      <c r="I582" s="1">
        <v>1</v>
      </c>
      <c r="J582" s="13">
        <v>146428</v>
      </c>
      <c r="M582">
        <v>32782</v>
      </c>
    </row>
    <row r="583" spans="3:13" x14ac:dyDescent="0.25">
      <c r="C583" s="3">
        <v>578</v>
      </c>
      <c r="D583" s="1">
        <v>52</v>
      </c>
      <c r="E583" s="1" t="s">
        <v>3</v>
      </c>
      <c r="F583" s="1" t="s">
        <v>4</v>
      </c>
      <c r="G583" s="1" t="s">
        <v>2</v>
      </c>
      <c r="H583" s="1">
        <v>10.07</v>
      </c>
      <c r="I583" s="1">
        <v>1</v>
      </c>
      <c r="J583" s="13">
        <v>24311</v>
      </c>
      <c r="M583">
        <v>27120</v>
      </c>
    </row>
    <row r="584" spans="3:13" x14ac:dyDescent="0.25">
      <c r="C584" s="3">
        <v>579</v>
      </c>
      <c r="D584" s="1">
        <v>25</v>
      </c>
      <c r="E584" s="1" t="s">
        <v>0</v>
      </c>
      <c r="F584" s="1" t="s">
        <v>4</v>
      </c>
      <c r="G584" s="1" t="s">
        <v>7</v>
      </c>
      <c r="H584" s="1">
        <v>7.82</v>
      </c>
      <c r="I584" s="1">
        <v>0</v>
      </c>
      <c r="J584" s="13">
        <v>8016</v>
      </c>
      <c r="M584">
        <v>30579</v>
      </c>
    </row>
    <row r="585" spans="3:13" x14ac:dyDescent="0.25">
      <c r="C585" s="3">
        <v>580</v>
      </c>
      <c r="D585" s="1">
        <v>59</v>
      </c>
      <c r="E585" s="1" t="s">
        <v>3</v>
      </c>
      <c r="F585" s="1" t="s">
        <v>4</v>
      </c>
      <c r="G585" s="1" t="s">
        <v>7</v>
      </c>
      <c r="H585" s="1">
        <v>8.49</v>
      </c>
      <c r="I585" s="1">
        <v>1</v>
      </c>
      <c r="J585" s="13">
        <v>32285</v>
      </c>
      <c r="M585">
        <v>24689</v>
      </c>
    </row>
    <row r="586" spans="3:13" x14ac:dyDescent="0.25">
      <c r="C586" s="3">
        <v>581</v>
      </c>
      <c r="D586" s="1">
        <v>19</v>
      </c>
      <c r="E586" s="1" t="s">
        <v>3</v>
      </c>
      <c r="F586" s="1" t="s">
        <v>4</v>
      </c>
      <c r="G586" s="1" t="s">
        <v>6</v>
      </c>
      <c r="H586" s="1">
        <v>10.199999999999999</v>
      </c>
      <c r="I586" s="1">
        <v>0</v>
      </c>
      <c r="J586" s="13">
        <v>4099</v>
      </c>
      <c r="M586">
        <v>28161</v>
      </c>
    </row>
    <row r="587" spans="3:13" x14ac:dyDescent="0.25">
      <c r="C587" s="3">
        <v>582</v>
      </c>
      <c r="D587" s="1">
        <v>39</v>
      </c>
      <c r="E587" s="1" t="s">
        <v>3</v>
      </c>
      <c r="F587" s="1" t="s">
        <v>4</v>
      </c>
      <c r="G587" s="1" t="s">
        <v>5</v>
      </c>
      <c r="H587" s="1">
        <v>15.14</v>
      </c>
      <c r="I587" s="1">
        <v>2</v>
      </c>
      <c r="J587" s="13">
        <v>15891</v>
      </c>
      <c r="M587">
        <v>32448</v>
      </c>
    </row>
    <row r="588" spans="3:13" x14ac:dyDescent="0.25">
      <c r="C588" s="3">
        <v>583</v>
      </c>
      <c r="D588" s="1">
        <v>32</v>
      </c>
      <c r="E588" s="1" t="s">
        <v>0</v>
      </c>
      <c r="F588" s="1" t="s">
        <v>4</v>
      </c>
      <c r="G588" s="1" t="s">
        <v>5</v>
      </c>
      <c r="H588" s="1">
        <v>7.88</v>
      </c>
      <c r="I588" s="1">
        <v>1</v>
      </c>
      <c r="J588" s="13">
        <v>44066</v>
      </c>
      <c r="M588">
        <v>3158</v>
      </c>
    </row>
    <row r="589" spans="3:13" x14ac:dyDescent="0.25">
      <c r="C589" s="3">
        <v>584</v>
      </c>
      <c r="D589" s="1">
        <v>19</v>
      </c>
      <c r="E589" s="1" t="s">
        <v>3</v>
      </c>
      <c r="F589" s="1" t="s">
        <v>4</v>
      </c>
      <c r="G589" s="1" t="s">
        <v>2</v>
      </c>
      <c r="H589" s="1">
        <v>6.9</v>
      </c>
      <c r="I589" s="1">
        <v>0</v>
      </c>
      <c r="J589" s="13">
        <v>3107</v>
      </c>
      <c r="M589">
        <v>25265</v>
      </c>
    </row>
    <row r="590" spans="3:13" x14ac:dyDescent="0.25">
      <c r="C590" s="3">
        <v>585</v>
      </c>
      <c r="D590" s="1">
        <v>33</v>
      </c>
      <c r="E590" s="1" t="s">
        <v>0</v>
      </c>
      <c r="F590" s="1" t="s">
        <v>4</v>
      </c>
      <c r="G590" s="1" t="s">
        <v>5</v>
      </c>
      <c r="H590" s="1">
        <v>9.42</v>
      </c>
      <c r="I590" s="1">
        <v>1</v>
      </c>
      <c r="J590" s="13">
        <v>11949</v>
      </c>
      <c r="M590">
        <v>16662</v>
      </c>
    </row>
    <row r="591" spans="3:13" x14ac:dyDescent="0.25">
      <c r="C591" s="3">
        <v>586</v>
      </c>
      <c r="D591" s="1">
        <v>21</v>
      </c>
      <c r="E591" s="1" t="s">
        <v>3</v>
      </c>
      <c r="F591" s="1" t="s">
        <v>4</v>
      </c>
      <c r="G591" s="1" t="s">
        <v>7</v>
      </c>
      <c r="H591" s="1">
        <v>6.74</v>
      </c>
      <c r="I591" s="1">
        <v>3</v>
      </c>
      <c r="J591" s="13">
        <v>9653</v>
      </c>
      <c r="M591">
        <v>5544</v>
      </c>
    </row>
    <row r="592" spans="3:13" x14ac:dyDescent="0.25">
      <c r="C592" s="3">
        <v>587</v>
      </c>
      <c r="D592" s="1">
        <v>34</v>
      </c>
      <c r="E592" s="1" t="s">
        <v>0</v>
      </c>
      <c r="F592" s="1" t="s">
        <v>1</v>
      </c>
      <c r="G592" s="1" t="s">
        <v>6</v>
      </c>
      <c r="H592" s="1">
        <v>10.07</v>
      </c>
      <c r="I592" s="1">
        <v>1</v>
      </c>
      <c r="J592" s="13">
        <v>109860</v>
      </c>
      <c r="M592">
        <v>16953</v>
      </c>
    </row>
    <row r="593" spans="3:13" x14ac:dyDescent="0.25">
      <c r="C593" s="3">
        <v>588</v>
      </c>
      <c r="D593" s="1">
        <v>61</v>
      </c>
      <c r="E593" s="1" t="s">
        <v>0</v>
      </c>
      <c r="F593" s="1" t="s">
        <v>4</v>
      </c>
      <c r="G593" s="1" t="s">
        <v>7</v>
      </c>
      <c r="H593" s="1">
        <v>11.97</v>
      </c>
      <c r="I593" s="1">
        <v>0</v>
      </c>
      <c r="J593" s="13">
        <v>34089</v>
      </c>
      <c r="M593">
        <v>25164</v>
      </c>
    </row>
    <row r="594" spans="3:13" x14ac:dyDescent="0.25">
      <c r="C594" s="3">
        <v>589</v>
      </c>
      <c r="D594" s="1">
        <v>38</v>
      </c>
      <c r="E594" s="1" t="s">
        <v>0</v>
      </c>
      <c r="F594" s="1" t="s">
        <v>4</v>
      </c>
      <c r="G594" s="1" t="s">
        <v>5</v>
      </c>
      <c r="H594" s="1">
        <v>10.23</v>
      </c>
      <c r="I594" s="1">
        <v>1</v>
      </c>
      <c r="J594" s="13">
        <v>14942</v>
      </c>
      <c r="M594">
        <v>10587</v>
      </c>
    </row>
    <row r="595" spans="3:13" x14ac:dyDescent="0.25">
      <c r="C595" s="3">
        <v>590</v>
      </c>
      <c r="D595" s="1">
        <v>58</v>
      </c>
      <c r="E595" s="1" t="s">
        <v>0</v>
      </c>
      <c r="F595" s="1" t="s">
        <v>4</v>
      </c>
      <c r="G595" s="1" t="s">
        <v>2</v>
      </c>
      <c r="H595" s="1">
        <v>9.67</v>
      </c>
      <c r="I595" s="1">
        <v>0</v>
      </c>
      <c r="J595" s="13">
        <v>29606</v>
      </c>
      <c r="M595">
        <v>23618</v>
      </c>
    </row>
    <row r="596" spans="3:13" x14ac:dyDescent="0.25">
      <c r="C596" s="3">
        <v>591</v>
      </c>
      <c r="D596" s="1">
        <v>47</v>
      </c>
      <c r="E596" s="1" t="s">
        <v>3</v>
      </c>
      <c r="F596" s="1" t="s">
        <v>4</v>
      </c>
      <c r="G596" s="1" t="s">
        <v>6</v>
      </c>
      <c r="H596" s="1">
        <v>6.52</v>
      </c>
      <c r="I596" s="1">
        <v>1</v>
      </c>
      <c r="J596" s="13">
        <v>21070</v>
      </c>
      <c r="M596">
        <v>35018</v>
      </c>
    </row>
    <row r="597" spans="3:13" x14ac:dyDescent="0.25">
      <c r="C597" s="3">
        <v>592</v>
      </c>
      <c r="D597" s="1">
        <v>20</v>
      </c>
      <c r="E597" s="1" t="s">
        <v>3</v>
      </c>
      <c r="F597" s="1" t="s">
        <v>4</v>
      </c>
      <c r="G597" s="1" t="s">
        <v>5</v>
      </c>
      <c r="H597" s="1">
        <v>10.38</v>
      </c>
      <c r="I597" s="1">
        <v>2</v>
      </c>
      <c r="J597" s="13">
        <v>6416</v>
      </c>
      <c r="M597">
        <v>23960</v>
      </c>
    </row>
    <row r="598" spans="3:13" x14ac:dyDescent="0.25">
      <c r="C598" s="3">
        <v>593</v>
      </c>
      <c r="D598" s="1">
        <v>21</v>
      </c>
      <c r="E598" s="1" t="s">
        <v>0</v>
      </c>
      <c r="F598" s="1" t="s">
        <v>1</v>
      </c>
      <c r="G598" s="1" t="s">
        <v>7</v>
      </c>
      <c r="H598" s="1">
        <v>7.28</v>
      </c>
      <c r="I598" s="1">
        <v>1</v>
      </c>
      <c r="J598" s="13">
        <v>38398</v>
      </c>
      <c r="M598">
        <v>8711</v>
      </c>
    </row>
    <row r="599" spans="3:13" x14ac:dyDescent="0.25">
      <c r="C599" s="3">
        <v>594</v>
      </c>
      <c r="D599" s="1">
        <v>41</v>
      </c>
      <c r="E599" s="1" t="s">
        <v>3</v>
      </c>
      <c r="F599" s="1" t="s">
        <v>4</v>
      </c>
      <c r="G599" s="1" t="s">
        <v>5</v>
      </c>
      <c r="H599" s="1">
        <v>13.42</v>
      </c>
      <c r="I599" s="1">
        <v>0</v>
      </c>
      <c r="J599" s="13">
        <v>14273</v>
      </c>
      <c r="M599">
        <v>21511</v>
      </c>
    </row>
    <row r="600" spans="3:13" x14ac:dyDescent="0.25">
      <c r="C600" s="3">
        <v>595</v>
      </c>
      <c r="D600" s="1">
        <v>46</v>
      </c>
      <c r="E600" s="1" t="s">
        <v>0</v>
      </c>
      <c r="F600" s="1" t="s">
        <v>4</v>
      </c>
      <c r="G600" s="1" t="s">
        <v>7</v>
      </c>
      <c r="H600" s="1">
        <v>11.24</v>
      </c>
      <c r="I600" s="1">
        <v>1</v>
      </c>
      <c r="J600" s="13">
        <v>22060</v>
      </c>
      <c r="M600">
        <v>9395</v>
      </c>
    </row>
    <row r="601" spans="3:13" x14ac:dyDescent="0.25">
      <c r="C601" s="3">
        <v>596</v>
      </c>
      <c r="D601" s="1">
        <v>42</v>
      </c>
      <c r="E601" s="1" t="s">
        <v>0</v>
      </c>
      <c r="F601" s="1" t="s">
        <v>4</v>
      </c>
      <c r="G601" s="1" t="s">
        <v>5</v>
      </c>
      <c r="H601" s="1">
        <v>9.83</v>
      </c>
      <c r="I601" s="1">
        <v>2</v>
      </c>
      <c r="J601" s="13">
        <v>19101</v>
      </c>
      <c r="M601">
        <v>22068</v>
      </c>
    </row>
    <row r="602" spans="3:13" x14ac:dyDescent="0.25">
      <c r="C602" s="3">
        <v>597</v>
      </c>
      <c r="D602" s="1">
        <v>34</v>
      </c>
      <c r="E602" s="1" t="s">
        <v>0</v>
      </c>
      <c r="F602" s="1" t="s">
        <v>4</v>
      </c>
      <c r="G602" s="1" t="s">
        <v>7</v>
      </c>
      <c r="H602" s="1">
        <v>11.08</v>
      </c>
      <c r="I602" s="1">
        <v>1</v>
      </c>
      <c r="J602" s="13">
        <v>13987</v>
      </c>
      <c r="M602">
        <v>24776</v>
      </c>
    </row>
    <row r="603" spans="3:13" x14ac:dyDescent="0.25">
      <c r="C603" s="3">
        <v>598</v>
      </c>
      <c r="D603" s="1">
        <v>43</v>
      </c>
      <c r="E603" s="1" t="s">
        <v>3</v>
      </c>
      <c r="F603" s="1" t="s">
        <v>4</v>
      </c>
      <c r="G603" s="1" t="s">
        <v>2</v>
      </c>
      <c r="H603" s="1">
        <v>10.87</v>
      </c>
      <c r="I603" s="1">
        <v>2</v>
      </c>
      <c r="J603" s="13">
        <v>18604</v>
      </c>
      <c r="M603">
        <v>29345</v>
      </c>
    </row>
    <row r="604" spans="3:13" x14ac:dyDescent="0.25">
      <c r="C604" s="3">
        <v>599</v>
      </c>
      <c r="D604" s="1">
        <v>52</v>
      </c>
      <c r="E604" s="1" t="s">
        <v>0</v>
      </c>
      <c r="F604" s="1" t="s">
        <v>4</v>
      </c>
      <c r="G604" s="1" t="s">
        <v>6</v>
      </c>
      <c r="H604" s="1">
        <v>12.51</v>
      </c>
      <c r="I604" s="1">
        <v>2</v>
      </c>
      <c r="J604" s="13">
        <v>83680</v>
      </c>
      <c r="M604">
        <v>4068</v>
      </c>
    </row>
    <row r="605" spans="3:13" x14ac:dyDescent="0.25">
      <c r="C605" s="3">
        <v>600</v>
      </c>
      <c r="D605" s="1">
        <v>18</v>
      </c>
      <c r="E605" s="1" t="s">
        <v>0</v>
      </c>
      <c r="F605" s="1" t="s">
        <v>4</v>
      </c>
      <c r="G605" s="1" t="s">
        <v>5</v>
      </c>
      <c r="H605" s="1">
        <v>13.05</v>
      </c>
      <c r="I605" s="1">
        <v>0</v>
      </c>
      <c r="J605" s="13">
        <v>4083</v>
      </c>
      <c r="M605">
        <v>21392</v>
      </c>
    </row>
    <row r="606" spans="3:13" x14ac:dyDescent="0.25">
      <c r="C606" s="3">
        <v>601</v>
      </c>
      <c r="D606" s="1">
        <v>51</v>
      </c>
      <c r="E606" s="1" t="s">
        <v>3</v>
      </c>
      <c r="F606" s="1" t="s">
        <v>4</v>
      </c>
      <c r="G606" s="1" t="s">
        <v>6</v>
      </c>
      <c r="H606" s="1">
        <v>10.54</v>
      </c>
      <c r="I606" s="1">
        <v>0</v>
      </c>
      <c r="J606" s="13">
        <v>22935</v>
      </c>
      <c r="M606">
        <v>7656</v>
      </c>
    </row>
    <row r="607" spans="3:13" x14ac:dyDescent="0.25">
      <c r="C607" s="3">
        <v>602</v>
      </c>
      <c r="D607" s="1">
        <v>56</v>
      </c>
      <c r="E607" s="1" t="s">
        <v>0</v>
      </c>
      <c r="F607" s="1" t="s">
        <v>4</v>
      </c>
      <c r="G607" s="1" t="s">
        <v>2</v>
      </c>
      <c r="H607" s="1">
        <v>8.43</v>
      </c>
      <c r="I607" s="1">
        <v>0</v>
      </c>
      <c r="J607" s="13">
        <v>27676</v>
      </c>
      <c r="M607">
        <v>4766</v>
      </c>
    </row>
    <row r="608" spans="3:13" x14ac:dyDescent="0.25">
      <c r="C608" s="3">
        <v>603</v>
      </c>
      <c r="D608" s="1">
        <v>64</v>
      </c>
      <c r="E608" s="1" t="s">
        <v>0</v>
      </c>
      <c r="F608" s="1" t="s">
        <v>4</v>
      </c>
      <c r="G608" s="1" t="s">
        <v>5</v>
      </c>
      <c r="H608" s="1">
        <v>13.02</v>
      </c>
      <c r="I608" s="1">
        <v>3</v>
      </c>
      <c r="J608" s="13">
        <v>40213</v>
      </c>
      <c r="M608">
        <v>35526</v>
      </c>
    </row>
    <row r="609" spans="3:13" x14ac:dyDescent="0.25">
      <c r="C609" s="3">
        <v>604</v>
      </c>
      <c r="D609" s="1">
        <v>19</v>
      </c>
      <c r="E609" s="1" t="s">
        <v>0</v>
      </c>
      <c r="F609" s="1" t="s">
        <v>1</v>
      </c>
      <c r="G609" s="1" t="s">
        <v>6</v>
      </c>
      <c r="H609" s="1">
        <v>9.44</v>
      </c>
      <c r="I609" s="1">
        <v>0</v>
      </c>
      <c r="J609" s="13">
        <v>43672</v>
      </c>
      <c r="M609">
        <v>29584</v>
      </c>
    </row>
    <row r="610" spans="3:13" x14ac:dyDescent="0.25">
      <c r="C610" s="3">
        <v>605</v>
      </c>
      <c r="D610" s="1">
        <v>51</v>
      </c>
      <c r="E610" s="1" t="s">
        <v>0</v>
      </c>
      <c r="F610" s="1" t="s">
        <v>4</v>
      </c>
      <c r="G610" s="1" t="s">
        <v>5</v>
      </c>
      <c r="H610" s="1">
        <v>11.37</v>
      </c>
      <c r="I610" s="1">
        <v>0</v>
      </c>
      <c r="J610" s="13">
        <v>23209</v>
      </c>
      <c r="M610">
        <v>42821</v>
      </c>
    </row>
    <row r="611" spans="3:13" x14ac:dyDescent="0.25">
      <c r="C611" s="3">
        <v>606</v>
      </c>
      <c r="D611" s="1">
        <v>27</v>
      </c>
      <c r="E611" s="1" t="s">
        <v>0</v>
      </c>
      <c r="F611" s="1" t="s">
        <v>4</v>
      </c>
      <c r="G611" s="1" t="s">
        <v>7</v>
      </c>
      <c r="H611" s="1">
        <v>8.39</v>
      </c>
      <c r="I611" s="1">
        <v>0</v>
      </c>
      <c r="J611" s="13">
        <v>8897</v>
      </c>
      <c r="M611">
        <v>12578</v>
      </c>
    </row>
    <row r="612" spans="3:13" x14ac:dyDescent="0.25">
      <c r="C612" s="3">
        <v>607</v>
      </c>
      <c r="D612" s="1">
        <v>59</v>
      </c>
      <c r="E612" s="1" t="s">
        <v>0</v>
      </c>
      <c r="F612" s="1" t="s">
        <v>1</v>
      </c>
      <c r="G612" s="1" t="s">
        <v>6</v>
      </c>
      <c r="H612" s="1">
        <v>7.89</v>
      </c>
      <c r="I612" s="1">
        <v>0</v>
      </c>
      <c r="J612" s="13">
        <v>64197</v>
      </c>
      <c r="M612">
        <v>19965</v>
      </c>
    </row>
    <row r="613" spans="3:13" x14ac:dyDescent="0.25">
      <c r="C613" s="3">
        <v>608</v>
      </c>
      <c r="D613" s="1">
        <v>28</v>
      </c>
      <c r="E613" s="1" t="s">
        <v>3</v>
      </c>
      <c r="F613" s="1" t="s">
        <v>4</v>
      </c>
      <c r="G613" s="1" t="s">
        <v>7</v>
      </c>
      <c r="H613" s="1">
        <v>8.99</v>
      </c>
      <c r="I613" s="1">
        <v>2</v>
      </c>
      <c r="J613" s="13">
        <v>11088</v>
      </c>
      <c r="M613">
        <v>13572</v>
      </c>
    </row>
    <row r="614" spans="3:13" x14ac:dyDescent="0.25">
      <c r="C614" s="3">
        <v>609</v>
      </c>
      <c r="D614" s="1">
        <v>30</v>
      </c>
      <c r="E614" s="1" t="s">
        <v>3</v>
      </c>
      <c r="F614" s="1" t="s">
        <v>1</v>
      </c>
      <c r="G614" s="1" t="s">
        <v>2</v>
      </c>
      <c r="H614" s="1">
        <v>12.6</v>
      </c>
      <c r="I614" s="1">
        <v>2</v>
      </c>
      <c r="J614" s="13">
        <v>98104</v>
      </c>
      <c r="M614">
        <v>9814</v>
      </c>
    </row>
    <row r="615" spans="3:13" x14ac:dyDescent="0.25">
      <c r="C615" s="3">
        <v>610</v>
      </c>
      <c r="D615" s="1">
        <v>47</v>
      </c>
      <c r="E615" s="1" t="s">
        <v>0</v>
      </c>
      <c r="F615" s="1" t="s">
        <v>4</v>
      </c>
      <c r="G615" s="1" t="s">
        <v>5</v>
      </c>
      <c r="H615" s="1">
        <v>9.7899999999999991</v>
      </c>
      <c r="I615" s="1">
        <v>1</v>
      </c>
      <c r="J615" s="13">
        <v>21369</v>
      </c>
      <c r="M615">
        <v>6042</v>
      </c>
    </row>
    <row r="616" spans="3:13" x14ac:dyDescent="0.25">
      <c r="C616" s="3">
        <v>611</v>
      </c>
      <c r="D616" s="1">
        <v>38</v>
      </c>
      <c r="E616" s="1" t="s">
        <v>0</v>
      </c>
      <c r="F616" s="1" t="s">
        <v>4</v>
      </c>
      <c r="G616" s="1" t="s">
        <v>2</v>
      </c>
      <c r="H616" s="1">
        <v>11.6</v>
      </c>
      <c r="I616" s="1">
        <v>2</v>
      </c>
      <c r="J616" s="13">
        <v>16429</v>
      </c>
      <c r="M616">
        <v>7677</v>
      </c>
    </row>
    <row r="617" spans="3:13" x14ac:dyDescent="0.25">
      <c r="C617" s="3">
        <v>612</v>
      </c>
      <c r="D617" s="1">
        <v>18</v>
      </c>
      <c r="E617" s="1" t="s">
        <v>0</v>
      </c>
      <c r="F617" s="1" t="s">
        <v>4</v>
      </c>
      <c r="G617" s="1" t="s">
        <v>7</v>
      </c>
      <c r="H617" s="1">
        <v>11.05</v>
      </c>
      <c r="I617" s="1">
        <v>0</v>
      </c>
      <c r="J617" s="13">
        <v>5519</v>
      </c>
      <c r="M617">
        <v>22738</v>
      </c>
    </row>
    <row r="618" spans="3:13" x14ac:dyDescent="0.25">
      <c r="C618" s="3">
        <v>613</v>
      </c>
      <c r="D618" s="1">
        <v>34</v>
      </c>
      <c r="E618" s="1" t="s">
        <v>0</v>
      </c>
      <c r="F618" s="1" t="s">
        <v>4</v>
      </c>
      <c r="G618" s="1" t="s">
        <v>7</v>
      </c>
      <c r="H618" s="1">
        <v>6.33</v>
      </c>
      <c r="I618" s="1">
        <v>3</v>
      </c>
      <c r="J618" s="13">
        <v>16883</v>
      </c>
      <c r="M618">
        <v>29607</v>
      </c>
    </row>
    <row r="619" spans="3:13" x14ac:dyDescent="0.25">
      <c r="C619" s="3">
        <v>614</v>
      </c>
      <c r="D619" s="1">
        <v>20</v>
      </c>
      <c r="E619" s="1" t="s">
        <v>0</v>
      </c>
      <c r="F619" s="1" t="s">
        <v>4</v>
      </c>
      <c r="G619" s="1" t="s">
        <v>5</v>
      </c>
      <c r="H619" s="1">
        <v>11</v>
      </c>
      <c r="I619" s="1">
        <v>0</v>
      </c>
      <c r="J619" s="13">
        <v>4700</v>
      </c>
      <c r="M619">
        <v>20157</v>
      </c>
    </row>
    <row r="620" spans="3:13" x14ac:dyDescent="0.25">
      <c r="C620" s="3">
        <v>615</v>
      </c>
      <c r="D620" s="1">
        <v>47</v>
      </c>
      <c r="E620" s="1" t="s">
        <v>0</v>
      </c>
      <c r="F620" s="1" t="s">
        <v>1</v>
      </c>
      <c r="G620" s="1" t="s">
        <v>5</v>
      </c>
      <c r="H620" s="1">
        <v>12.21</v>
      </c>
      <c r="I620" s="1">
        <v>1</v>
      </c>
      <c r="J620" s="13">
        <v>107425</v>
      </c>
      <c r="M620">
        <v>17627</v>
      </c>
    </row>
    <row r="621" spans="3:13" x14ac:dyDescent="0.25">
      <c r="C621" s="3">
        <v>616</v>
      </c>
      <c r="D621" s="1">
        <v>56</v>
      </c>
      <c r="E621" s="1" t="s">
        <v>0</v>
      </c>
      <c r="F621" s="1" t="s">
        <v>4</v>
      </c>
      <c r="G621" s="1" t="s">
        <v>7</v>
      </c>
      <c r="H621" s="1">
        <v>9.5299999999999994</v>
      </c>
      <c r="I621" s="1">
        <v>0</v>
      </c>
      <c r="J621" s="13">
        <v>29145</v>
      </c>
      <c r="M621">
        <v>35798</v>
      </c>
    </row>
    <row r="622" spans="3:13" x14ac:dyDescent="0.25">
      <c r="C622" s="3">
        <v>617</v>
      </c>
      <c r="D622" s="1">
        <v>49</v>
      </c>
      <c r="E622" s="1" t="s">
        <v>3</v>
      </c>
      <c r="F622" s="1" t="s">
        <v>1</v>
      </c>
      <c r="G622" s="1" t="s">
        <v>2</v>
      </c>
      <c r="H622" s="1">
        <v>8.5299999999999994</v>
      </c>
      <c r="I622" s="1">
        <v>2</v>
      </c>
      <c r="J622" s="13">
        <v>58266</v>
      </c>
      <c r="M622">
        <v>17333</v>
      </c>
    </row>
    <row r="623" spans="3:13" x14ac:dyDescent="0.25">
      <c r="C623" s="3">
        <v>618</v>
      </c>
      <c r="D623" s="1">
        <v>19</v>
      </c>
      <c r="E623" s="1" t="s">
        <v>0</v>
      </c>
      <c r="F623" s="1" t="s">
        <v>1</v>
      </c>
      <c r="G623" s="1" t="s">
        <v>5</v>
      </c>
      <c r="H623" s="1">
        <v>11.04</v>
      </c>
      <c r="I623" s="1">
        <v>0</v>
      </c>
      <c r="J623" s="13">
        <v>86100</v>
      </c>
      <c r="M623">
        <v>69853</v>
      </c>
    </row>
    <row r="624" spans="3:13" x14ac:dyDescent="0.25">
      <c r="C624" s="3">
        <v>619</v>
      </c>
      <c r="D624" s="1">
        <v>55</v>
      </c>
      <c r="E624" s="1" t="s">
        <v>0</v>
      </c>
      <c r="F624" s="1" t="s">
        <v>4</v>
      </c>
      <c r="G624" s="1" t="s">
        <v>2</v>
      </c>
      <c r="H624" s="1">
        <v>12.37</v>
      </c>
      <c r="I624" s="1">
        <v>0</v>
      </c>
      <c r="J624" s="13">
        <v>26784</v>
      </c>
      <c r="M624">
        <v>27877</v>
      </c>
    </row>
    <row r="625" spans="3:13" x14ac:dyDescent="0.25">
      <c r="C625" s="3">
        <v>620</v>
      </c>
      <c r="D625" s="1">
        <v>30</v>
      </c>
      <c r="E625" s="1" t="s">
        <v>3</v>
      </c>
      <c r="F625" s="1" t="s">
        <v>4</v>
      </c>
      <c r="G625" s="1" t="s">
        <v>2</v>
      </c>
      <c r="H625" s="1">
        <v>10.47</v>
      </c>
      <c r="I625" s="1">
        <v>1</v>
      </c>
      <c r="J625" s="13">
        <v>9148</v>
      </c>
      <c r="M625">
        <v>31993</v>
      </c>
    </row>
    <row r="626" spans="3:13" x14ac:dyDescent="0.25">
      <c r="C626" s="3">
        <v>621</v>
      </c>
      <c r="D626" s="1">
        <v>37</v>
      </c>
      <c r="E626" s="1" t="s">
        <v>3</v>
      </c>
      <c r="F626" s="1" t="s">
        <v>1</v>
      </c>
      <c r="G626" s="1" t="s">
        <v>2</v>
      </c>
      <c r="H626" s="1">
        <v>11.37</v>
      </c>
      <c r="I626" s="1">
        <v>4</v>
      </c>
      <c r="J626" s="13">
        <v>100456</v>
      </c>
      <c r="M626">
        <v>18154</v>
      </c>
    </row>
    <row r="627" spans="3:13" x14ac:dyDescent="0.25">
      <c r="C627" s="3">
        <v>622</v>
      </c>
      <c r="D627" s="1">
        <v>49</v>
      </c>
      <c r="E627" s="1" t="s">
        <v>0</v>
      </c>
      <c r="F627" s="1" t="s">
        <v>4</v>
      </c>
      <c r="G627" s="1" t="s">
        <v>2</v>
      </c>
      <c r="H627" s="1">
        <v>7.1</v>
      </c>
      <c r="I627" s="1">
        <v>1</v>
      </c>
      <c r="J627" s="13">
        <v>22955</v>
      </c>
      <c r="M627">
        <v>26401</v>
      </c>
    </row>
    <row r="628" spans="3:13" x14ac:dyDescent="0.25">
      <c r="C628" s="3">
        <v>623</v>
      </c>
      <c r="D628" s="1">
        <v>18</v>
      </c>
      <c r="E628" s="1" t="s">
        <v>3</v>
      </c>
      <c r="F628" s="1" t="s">
        <v>1</v>
      </c>
      <c r="G628" s="1" t="s">
        <v>7</v>
      </c>
      <c r="H628" s="1">
        <v>11.18</v>
      </c>
      <c r="I628" s="1">
        <v>0</v>
      </c>
      <c r="J628" s="13">
        <v>86545</v>
      </c>
      <c r="M628">
        <v>17467</v>
      </c>
    </row>
    <row r="629" spans="3:13" x14ac:dyDescent="0.25">
      <c r="C629" s="3">
        <v>624</v>
      </c>
      <c r="D629" s="1">
        <v>59</v>
      </c>
      <c r="E629" s="1" t="s">
        <v>3</v>
      </c>
      <c r="F629" s="1" t="s">
        <v>4</v>
      </c>
      <c r="G629" s="1" t="s">
        <v>6</v>
      </c>
      <c r="H629" s="1">
        <v>9.6</v>
      </c>
      <c r="I629" s="1">
        <v>0</v>
      </c>
      <c r="J629" s="13">
        <v>30324</v>
      </c>
      <c r="M629">
        <v>18621</v>
      </c>
    </row>
    <row r="630" spans="3:13" x14ac:dyDescent="0.25">
      <c r="C630" s="3">
        <v>625</v>
      </c>
      <c r="D630" s="1">
        <v>29</v>
      </c>
      <c r="E630" s="1" t="s">
        <v>0</v>
      </c>
      <c r="F630" s="1" t="s">
        <v>4</v>
      </c>
      <c r="G630" s="1" t="s">
        <v>6</v>
      </c>
      <c r="H630" s="1">
        <v>8.68</v>
      </c>
      <c r="I630" s="1">
        <v>0</v>
      </c>
      <c r="J630" s="13">
        <v>9341</v>
      </c>
      <c r="M630">
        <v>14836</v>
      </c>
    </row>
    <row r="631" spans="3:13" x14ac:dyDescent="0.25">
      <c r="C631" s="3">
        <v>626</v>
      </c>
      <c r="D631" s="1">
        <v>36</v>
      </c>
      <c r="E631" s="1" t="s">
        <v>3</v>
      </c>
      <c r="F631" s="1" t="s">
        <v>4</v>
      </c>
      <c r="G631" s="1" t="s">
        <v>7</v>
      </c>
      <c r="H631" s="1">
        <v>9.6300000000000008</v>
      </c>
      <c r="I631" s="1">
        <v>3</v>
      </c>
      <c r="J631" s="13">
        <v>16871</v>
      </c>
      <c r="M631">
        <v>24675</v>
      </c>
    </row>
    <row r="632" spans="3:13" x14ac:dyDescent="0.25">
      <c r="C632" s="3">
        <v>627</v>
      </c>
      <c r="D632" s="1">
        <v>33</v>
      </c>
      <c r="E632" s="1" t="s">
        <v>3</v>
      </c>
      <c r="F632" s="1" t="s">
        <v>4</v>
      </c>
      <c r="G632" s="1" t="s">
        <v>5</v>
      </c>
      <c r="H632" s="1">
        <v>14.15</v>
      </c>
      <c r="I632" s="1">
        <v>1</v>
      </c>
      <c r="J632" s="13">
        <v>28317</v>
      </c>
      <c r="M632">
        <v>2867</v>
      </c>
    </row>
    <row r="633" spans="3:13" x14ac:dyDescent="0.25">
      <c r="C633" s="3">
        <v>628</v>
      </c>
      <c r="D633" s="1">
        <v>58</v>
      </c>
      <c r="E633" s="1" t="s">
        <v>3</v>
      </c>
      <c r="F633" s="1" t="s">
        <v>4</v>
      </c>
      <c r="G633" s="1" t="s">
        <v>2</v>
      </c>
      <c r="H633" s="1">
        <v>12.67</v>
      </c>
      <c r="I633" s="1">
        <v>0</v>
      </c>
      <c r="J633" s="13">
        <v>28415</v>
      </c>
      <c r="M633">
        <v>23465</v>
      </c>
    </row>
    <row r="634" spans="3:13" x14ac:dyDescent="0.25">
      <c r="C634" s="3">
        <v>629</v>
      </c>
      <c r="D634" s="1">
        <v>44</v>
      </c>
      <c r="E634" s="1" t="s">
        <v>0</v>
      </c>
      <c r="F634" s="1" t="s">
        <v>1</v>
      </c>
      <c r="G634" s="1" t="s">
        <v>6</v>
      </c>
      <c r="H634" s="1">
        <v>12.98</v>
      </c>
      <c r="I634" s="1">
        <v>0</v>
      </c>
      <c r="J634" s="13">
        <v>107459</v>
      </c>
      <c r="M634">
        <v>10876</v>
      </c>
    </row>
    <row r="635" spans="3:13" x14ac:dyDescent="0.25">
      <c r="C635" s="3">
        <v>630</v>
      </c>
      <c r="D635" s="1">
        <v>53</v>
      </c>
      <c r="E635" s="1" t="s">
        <v>3</v>
      </c>
      <c r="F635" s="1" t="s">
        <v>4</v>
      </c>
      <c r="G635" s="1" t="s">
        <v>2</v>
      </c>
      <c r="H635" s="1">
        <v>12.03</v>
      </c>
      <c r="I635" s="1">
        <v>1</v>
      </c>
      <c r="J635" s="13">
        <v>25215</v>
      </c>
      <c r="M635">
        <v>16035</v>
      </c>
    </row>
    <row r="636" spans="3:13" x14ac:dyDescent="0.25">
      <c r="C636" s="3">
        <v>631</v>
      </c>
      <c r="D636" s="1">
        <v>24</v>
      </c>
      <c r="E636" s="1" t="s">
        <v>3</v>
      </c>
      <c r="F636" s="1" t="s">
        <v>4</v>
      </c>
      <c r="G636" s="1" t="s">
        <v>2</v>
      </c>
      <c r="H636" s="1">
        <v>9.77</v>
      </c>
      <c r="I636" s="1">
        <v>0</v>
      </c>
      <c r="J636" s="13">
        <v>4945</v>
      </c>
      <c r="M636">
        <v>31853</v>
      </c>
    </row>
    <row r="637" spans="3:13" x14ac:dyDescent="0.25">
      <c r="C637" s="3">
        <v>632</v>
      </c>
      <c r="D637" s="1">
        <v>29</v>
      </c>
      <c r="E637" s="1" t="s">
        <v>0</v>
      </c>
      <c r="F637" s="1" t="s">
        <v>4</v>
      </c>
      <c r="G637" s="1" t="s">
        <v>5</v>
      </c>
      <c r="H637" s="1">
        <v>11.84</v>
      </c>
      <c r="I637" s="1">
        <v>0</v>
      </c>
      <c r="J637" s="13">
        <v>8417</v>
      </c>
      <c r="M637">
        <v>4793</v>
      </c>
    </row>
    <row r="638" spans="3:13" x14ac:dyDescent="0.25">
      <c r="C638" s="3">
        <v>633</v>
      </c>
      <c r="D638" s="1">
        <v>40</v>
      </c>
      <c r="E638" s="1" t="s">
        <v>3</v>
      </c>
      <c r="F638" s="1" t="s">
        <v>4</v>
      </c>
      <c r="G638" s="1" t="s">
        <v>7</v>
      </c>
      <c r="H638" s="1">
        <v>7.57</v>
      </c>
      <c r="I638" s="1">
        <v>2</v>
      </c>
      <c r="J638" s="13">
        <v>17933</v>
      </c>
      <c r="M638">
        <v>13024</v>
      </c>
    </row>
    <row r="639" spans="3:13" x14ac:dyDescent="0.25">
      <c r="C639" s="3">
        <v>634</v>
      </c>
      <c r="D639" s="1">
        <v>51</v>
      </c>
      <c r="E639" s="1" t="s">
        <v>3</v>
      </c>
      <c r="F639" s="1" t="s">
        <v>4</v>
      </c>
      <c r="G639" s="1" t="s">
        <v>2</v>
      </c>
      <c r="H639" s="1">
        <v>13.23</v>
      </c>
      <c r="I639" s="1">
        <v>1</v>
      </c>
      <c r="J639" s="13">
        <v>23478</v>
      </c>
      <c r="M639">
        <v>33645</v>
      </c>
    </row>
    <row r="640" spans="3:13" x14ac:dyDescent="0.25">
      <c r="C640" s="3">
        <v>635</v>
      </c>
      <c r="D640" s="1">
        <v>64</v>
      </c>
      <c r="E640" s="1" t="s">
        <v>3</v>
      </c>
      <c r="F640" s="1" t="s">
        <v>4</v>
      </c>
      <c r="G640" s="1" t="s">
        <v>7</v>
      </c>
      <c r="H640" s="1">
        <v>12.73</v>
      </c>
      <c r="I640" s="1">
        <v>0</v>
      </c>
      <c r="J640" s="13">
        <v>36027</v>
      </c>
      <c r="M640">
        <v>14156</v>
      </c>
    </row>
    <row r="641" spans="3:13" x14ac:dyDescent="0.25">
      <c r="C641" s="3">
        <v>636</v>
      </c>
      <c r="D641" s="1">
        <v>19</v>
      </c>
      <c r="E641" s="1" t="s">
        <v>0</v>
      </c>
      <c r="F641" s="1" t="s">
        <v>4</v>
      </c>
      <c r="G641" s="1" t="s">
        <v>6</v>
      </c>
      <c r="H641" s="1">
        <v>8.17</v>
      </c>
      <c r="I641" s="1">
        <v>1</v>
      </c>
      <c r="J641" s="13">
        <v>6773</v>
      </c>
      <c r="M641">
        <v>3131</v>
      </c>
    </row>
    <row r="642" spans="3:13" x14ac:dyDescent="0.25">
      <c r="C642" s="3">
        <v>637</v>
      </c>
      <c r="D642" s="1">
        <v>35</v>
      </c>
      <c r="E642" s="1" t="s">
        <v>0</v>
      </c>
      <c r="F642" s="1" t="s">
        <v>4</v>
      </c>
      <c r="G642" s="1" t="s">
        <v>7</v>
      </c>
      <c r="H642" s="1">
        <v>12.7</v>
      </c>
      <c r="I642" s="1">
        <v>2</v>
      </c>
      <c r="J642" s="13">
        <v>62288</v>
      </c>
      <c r="M642">
        <v>6830</v>
      </c>
    </row>
    <row r="643" spans="3:13" x14ac:dyDescent="0.25">
      <c r="C643" s="3">
        <v>638</v>
      </c>
      <c r="D643" s="1">
        <v>39</v>
      </c>
      <c r="E643" s="1" t="s">
        <v>3</v>
      </c>
      <c r="F643" s="1" t="s">
        <v>1</v>
      </c>
      <c r="G643" s="1" t="s">
        <v>7</v>
      </c>
      <c r="H643" s="1">
        <v>8.8000000000000007</v>
      </c>
      <c r="I643" s="1">
        <v>0</v>
      </c>
      <c r="J643" s="13">
        <v>50373</v>
      </c>
      <c r="M643">
        <v>18024</v>
      </c>
    </row>
    <row r="644" spans="3:13" x14ac:dyDescent="0.25">
      <c r="C644" s="3">
        <v>639</v>
      </c>
      <c r="D644" s="1">
        <v>56</v>
      </c>
      <c r="E644" s="1" t="s">
        <v>3</v>
      </c>
      <c r="F644" s="1" t="s">
        <v>4</v>
      </c>
      <c r="G644" s="1" t="s">
        <v>5</v>
      </c>
      <c r="H644" s="1">
        <v>11.22</v>
      </c>
      <c r="I644" s="1">
        <v>4</v>
      </c>
      <c r="J644" s="13">
        <v>32373</v>
      </c>
      <c r="M644">
        <v>10665</v>
      </c>
    </row>
    <row r="645" spans="3:13" x14ac:dyDescent="0.25">
      <c r="C645" s="3">
        <v>640</v>
      </c>
      <c r="D645" s="1">
        <v>33</v>
      </c>
      <c r="E645" s="1" t="s">
        <v>3</v>
      </c>
      <c r="F645" s="1" t="s">
        <v>4</v>
      </c>
      <c r="G645" s="1" t="s">
        <v>2</v>
      </c>
      <c r="H645" s="1">
        <v>14.13</v>
      </c>
      <c r="I645" s="1">
        <v>5</v>
      </c>
      <c r="J645" s="13">
        <v>16666</v>
      </c>
      <c r="M645">
        <v>11799</v>
      </c>
    </row>
    <row r="646" spans="3:13" x14ac:dyDescent="0.25">
      <c r="C646" s="3">
        <v>641</v>
      </c>
      <c r="D646" s="1">
        <v>42</v>
      </c>
      <c r="E646" s="1" t="s">
        <v>3</v>
      </c>
      <c r="F646" s="1" t="s">
        <v>1</v>
      </c>
      <c r="G646" s="1" t="s">
        <v>6</v>
      </c>
      <c r="H646" s="1">
        <v>9.44</v>
      </c>
      <c r="I646" s="1">
        <v>3</v>
      </c>
      <c r="J646" s="13">
        <v>81969</v>
      </c>
      <c r="M646">
        <v>29620</v>
      </c>
    </row>
    <row r="647" spans="3:13" x14ac:dyDescent="0.25">
      <c r="C647" s="3">
        <v>642</v>
      </c>
      <c r="D647" s="1">
        <v>61</v>
      </c>
      <c r="E647" s="1" t="s">
        <v>3</v>
      </c>
      <c r="F647" s="1" t="s">
        <v>4</v>
      </c>
      <c r="G647" s="1" t="s">
        <v>7</v>
      </c>
      <c r="H647" s="1">
        <v>11.3</v>
      </c>
      <c r="I647" s="1">
        <v>0</v>
      </c>
      <c r="J647" s="13">
        <v>32860</v>
      </c>
      <c r="M647">
        <v>17617</v>
      </c>
    </row>
    <row r="648" spans="3:13" x14ac:dyDescent="0.25">
      <c r="C648" s="3">
        <v>643</v>
      </c>
      <c r="D648" s="1">
        <v>23</v>
      </c>
      <c r="E648" s="1" t="s">
        <v>0</v>
      </c>
      <c r="F648" s="1" t="s">
        <v>4</v>
      </c>
      <c r="G648" s="1" t="s">
        <v>6</v>
      </c>
      <c r="H648" s="1">
        <v>11.65</v>
      </c>
      <c r="I648" s="1">
        <v>3</v>
      </c>
      <c r="J648" s="13">
        <v>11167</v>
      </c>
      <c r="M648">
        <v>35785</v>
      </c>
    </row>
    <row r="649" spans="3:13" x14ac:dyDescent="0.25">
      <c r="C649" s="3">
        <v>644</v>
      </c>
      <c r="D649" s="1">
        <v>43</v>
      </c>
      <c r="E649" s="1" t="s">
        <v>3</v>
      </c>
      <c r="F649" s="1" t="s">
        <v>4</v>
      </c>
      <c r="G649" s="1" t="s">
        <v>5</v>
      </c>
      <c r="H649" s="1">
        <v>11.77</v>
      </c>
      <c r="I649" s="1">
        <v>2</v>
      </c>
      <c r="J649" s="13">
        <v>47015</v>
      </c>
      <c r="M649">
        <v>5258</v>
      </c>
    </row>
    <row r="650" spans="3:13" x14ac:dyDescent="0.25">
      <c r="C650" s="3">
        <v>645</v>
      </c>
      <c r="D650" s="1">
        <v>48</v>
      </c>
      <c r="E650" s="1" t="s">
        <v>3</v>
      </c>
      <c r="F650" s="1" t="s">
        <v>4</v>
      </c>
      <c r="G650" s="1" t="s">
        <v>7</v>
      </c>
      <c r="H650" s="1">
        <v>10.26</v>
      </c>
      <c r="I650" s="1">
        <v>3</v>
      </c>
      <c r="J650" s="13">
        <v>25353</v>
      </c>
      <c r="M650">
        <v>4540</v>
      </c>
    </row>
    <row r="651" spans="3:13" x14ac:dyDescent="0.25">
      <c r="C651" s="3">
        <v>646</v>
      </c>
      <c r="D651" s="1">
        <v>39</v>
      </c>
      <c r="E651" s="1" t="s">
        <v>3</v>
      </c>
      <c r="F651" s="1" t="s">
        <v>4</v>
      </c>
      <c r="G651" s="1" t="s">
        <v>6</v>
      </c>
      <c r="H651" s="1">
        <v>8.74</v>
      </c>
      <c r="I651" s="1">
        <v>1</v>
      </c>
      <c r="J651" s="13">
        <v>15309</v>
      </c>
      <c r="M651">
        <v>19330</v>
      </c>
    </row>
    <row r="652" spans="3:13" x14ac:dyDescent="0.25">
      <c r="C652" s="3">
        <v>647</v>
      </c>
      <c r="D652" s="1">
        <v>40</v>
      </c>
      <c r="E652" s="1" t="s">
        <v>0</v>
      </c>
      <c r="F652" s="1" t="s">
        <v>4</v>
      </c>
      <c r="G652" s="1" t="s">
        <v>7</v>
      </c>
      <c r="H652" s="1">
        <v>7.79</v>
      </c>
      <c r="I652" s="1">
        <v>3</v>
      </c>
      <c r="J652" s="13">
        <v>20631</v>
      </c>
      <c r="M652">
        <v>71192</v>
      </c>
    </row>
    <row r="653" spans="3:13" x14ac:dyDescent="0.25">
      <c r="C653" s="3">
        <v>648</v>
      </c>
      <c r="D653" s="1">
        <v>18</v>
      </c>
      <c r="E653" s="1" t="s">
        <v>3</v>
      </c>
      <c r="F653" s="1" t="s">
        <v>4</v>
      </c>
      <c r="G653" s="1" t="s">
        <v>7</v>
      </c>
      <c r="H653" s="1">
        <v>9.5</v>
      </c>
      <c r="I653" s="1">
        <v>0</v>
      </c>
      <c r="J653" s="13">
        <v>4281</v>
      </c>
      <c r="M653">
        <v>5342</v>
      </c>
    </row>
    <row r="654" spans="3:13" x14ac:dyDescent="0.25">
      <c r="C654" s="3">
        <v>649</v>
      </c>
      <c r="D654" s="1">
        <v>58</v>
      </c>
      <c r="E654" s="1" t="s">
        <v>0</v>
      </c>
      <c r="F654" s="1" t="s">
        <v>4</v>
      </c>
      <c r="G654" s="1" t="s">
        <v>7</v>
      </c>
      <c r="H654" s="1">
        <v>10.99</v>
      </c>
      <c r="I654" s="1">
        <v>0</v>
      </c>
      <c r="J654" s="13">
        <v>31077</v>
      </c>
      <c r="M654">
        <v>2829</v>
      </c>
    </row>
    <row r="655" spans="3:13" x14ac:dyDescent="0.25">
      <c r="C655" s="3">
        <v>650</v>
      </c>
      <c r="D655" s="1">
        <v>49</v>
      </c>
      <c r="E655" s="1" t="s">
        <v>0</v>
      </c>
      <c r="F655" s="1" t="s">
        <v>4</v>
      </c>
      <c r="G655" s="1" t="s">
        <v>5</v>
      </c>
      <c r="H655" s="1">
        <v>14.23</v>
      </c>
      <c r="I655" s="1">
        <v>2</v>
      </c>
      <c r="J655" s="13">
        <v>24502</v>
      </c>
      <c r="M655">
        <v>8274</v>
      </c>
    </row>
    <row r="656" spans="3:13" x14ac:dyDescent="0.25">
      <c r="C656" s="3">
        <v>651</v>
      </c>
      <c r="D656" s="1">
        <v>53</v>
      </c>
      <c r="E656" s="1" t="s">
        <v>0</v>
      </c>
      <c r="F656" s="1" t="s">
        <v>4</v>
      </c>
      <c r="G656" s="1" t="s">
        <v>5</v>
      </c>
      <c r="H656" s="1">
        <v>13.2</v>
      </c>
      <c r="I656" s="1">
        <v>1</v>
      </c>
      <c r="J656" s="13">
        <v>26449</v>
      </c>
      <c r="M656">
        <v>23537</v>
      </c>
    </row>
    <row r="657" spans="3:13" x14ac:dyDescent="0.25">
      <c r="C657" s="3">
        <v>652</v>
      </c>
      <c r="D657" s="1">
        <v>48</v>
      </c>
      <c r="E657" s="1" t="s">
        <v>0</v>
      </c>
      <c r="F657" s="1" t="s">
        <v>4</v>
      </c>
      <c r="G657" s="1" t="s">
        <v>5</v>
      </c>
      <c r="H657" s="1">
        <v>10.38</v>
      </c>
      <c r="I657" s="1">
        <v>0</v>
      </c>
      <c r="J657" s="13">
        <v>20702</v>
      </c>
      <c r="M657">
        <v>15902</v>
      </c>
    </row>
    <row r="658" spans="3:13" x14ac:dyDescent="0.25">
      <c r="C658" s="3">
        <v>653</v>
      </c>
      <c r="D658" s="1">
        <v>45</v>
      </c>
      <c r="E658" s="1" t="s">
        <v>0</v>
      </c>
      <c r="F658" s="1" t="s">
        <v>4</v>
      </c>
      <c r="G658" s="1" t="s">
        <v>5</v>
      </c>
      <c r="H658" s="1">
        <v>12.1</v>
      </c>
      <c r="I658" s="1">
        <v>2</v>
      </c>
      <c r="J658" s="13">
        <v>21319</v>
      </c>
      <c r="M658">
        <v>27534</v>
      </c>
    </row>
    <row r="659" spans="3:13" x14ac:dyDescent="0.25">
      <c r="C659" s="3">
        <v>654</v>
      </c>
      <c r="D659" s="1">
        <v>59</v>
      </c>
      <c r="E659" s="1" t="s">
        <v>0</v>
      </c>
      <c r="F659" s="1" t="s">
        <v>4</v>
      </c>
      <c r="G659" s="1" t="s">
        <v>5</v>
      </c>
      <c r="H659" s="1">
        <v>11.73</v>
      </c>
      <c r="I659" s="1">
        <v>0</v>
      </c>
      <c r="J659" s="13">
        <v>30611</v>
      </c>
      <c r="M659">
        <v>11072</v>
      </c>
    </row>
    <row r="660" spans="3:13" x14ac:dyDescent="0.25">
      <c r="C660" s="3">
        <v>655</v>
      </c>
      <c r="D660" s="1">
        <v>52</v>
      </c>
      <c r="E660" s="1" t="s">
        <v>0</v>
      </c>
      <c r="F660" s="1" t="s">
        <v>1</v>
      </c>
      <c r="G660" s="1" t="s">
        <v>5</v>
      </c>
      <c r="H660" s="1">
        <v>8.43</v>
      </c>
      <c r="I660" s="1">
        <v>2</v>
      </c>
      <c r="J660" s="13">
        <v>61669</v>
      </c>
      <c r="M660">
        <v>13961</v>
      </c>
    </row>
    <row r="661" spans="3:13" x14ac:dyDescent="0.25">
      <c r="C661" s="3">
        <v>656</v>
      </c>
      <c r="D661" s="1">
        <v>26</v>
      </c>
      <c r="E661" s="1" t="s">
        <v>0</v>
      </c>
      <c r="F661" s="1" t="s">
        <v>4</v>
      </c>
      <c r="G661" s="1" t="s">
        <v>2</v>
      </c>
      <c r="H661" s="1">
        <v>14.13</v>
      </c>
      <c r="I661" s="1">
        <v>1</v>
      </c>
      <c r="J661" s="13">
        <v>8526</v>
      </c>
      <c r="M661">
        <v>4695</v>
      </c>
    </row>
    <row r="662" spans="3:13" x14ac:dyDescent="0.25">
      <c r="C662" s="3">
        <v>657</v>
      </c>
      <c r="D662" s="1">
        <v>27</v>
      </c>
      <c r="E662" s="1" t="s">
        <v>3</v>
      </c>
      <c r="F662" s="1" t="s">
        <v>4</v>
      </c>
      <c r="G662" s="1" t="s">
        <v>6</v>
      </c>
      <c r="H662" s="1">
        <v>11.05</v>
      </c>
      <c r="I662" s="1">
        <v>2</v>
      </c>
      <c r="J662" s="13">
        <v>10147</v>
      </c>
      <c r="M662">
        <v>7107</v>
      </c>
    </row>
    <row r="663" spans="3:13" x14ac:dyDescent="0.25">
      <c r="C663" s="3">
        <v>658</v>
      </c>
      <c r="D663" s="1">
        <v>48</v>
      </c>
      <c r="E663" s="1" t="s">
        <v>0</v>
      </c>
      <c r="F663" s="1" t="s">
        <v>4</v>
      </c>
      <c r="G663" s="1" t="s">
        <v>7</v>
      </c>
      <c r="H663" s="1">
        <v>11.97</v>
      </c>
      <c r="I663" s="1">
        <v>1</v>
      </c>
      <c r="J663" s="13">
        <v>65981</v>
      </c>
      <c r="M663">
        <v>8994</v>
      </c>
    </row>
    <row r="664" spans="3:13" x14ac:dyDescent="0.25">
      <c r="C664" s="3">
        <v>659</v>
      </c>
      <c r="D664" s="1">
        <v>57</v>
      </c>
      <c r="E664" s="1" t="s">
        <v>0</v>
      </c>
      <c r="F664" s="1" t="s">
        <v>4</v>
      </c>
      <c r="G664" s="1" t="s">
        <v>7</v>
      </c>
      <c r="H664" s="1">
        <v>9.6</v>
      </c>
      <c r="I664" s="1">
        <v>4</v>
      </c>
      <c r="J664" s="13">
        <v>35986</v>
      </c>
      <c r="M664">
        <v>18615</v>
      </c>
    </row>
    <row r="665" spans="3:13" x14ac:dyDescent="0.25">
      <c r="C665" s="3">
        <v>660</v>
      </c>
      <c r="D665" s="1">
        <v>37</v>
      </c>
      <c r="E665" s="1" t="s">
        <v>3</v>
      </c>
      <c r="F665" s="1" t="s">
        <v>4</v>
      </c>
      <c r="G665" s="1" t="s">
        <v>5</v>
      </c>
      <c r="H665" s="1">
        <v>15.51</v>
      </c>
      <c r="I665" s="1">
        <v>3</v>
      </c>
      <c r="J665" s="13">
        <v>16089</v>
      </c>
      <c r="M665">
        <v>6702</v>
      </c>
    </row>
    <row r="666" spans="3:13" x14ac:dyDescent="0.25">
      <c r="C666" s="3">
        <v>661</v>
      </c>
      <c r="D666" s="1">
        <v>57</v>
      </c>
      <c r="E666" s="1" t="s">
        <v>0</v>
      </c>
      <c r="F666" s="1" t="s">
        <v>4</v>
      </c>
      <c r="G666" s="1" t="s">
        <v>5</v>
      </c>
      <c r="H666" s="1">
        <v>7.99</v>
      </c>
      <c r="I666" s="1">
        <v>1</v>
      </c>
      <c r="J666" s="13">
        <v>55481</v>
      </c>
      <c r="M666">
        <v>4055</v>
      </c>
    </row>
    <row r="667" spans="3:13" x14ac:dyDescent="0.25">
      <c r="C667" s="3">
        <v>662</v>
      </c>
      <c r="D667" s="1">
        <v>32</v>
      </c>
      <c r="E667" s="1" t="s">
        <v>0</v>
      </c>
      <c r="F667" s="1" t="s">
        <v>4</v>
      </c>
      <c r="G667" s="1" t="s">
        <v>7</v>
      </c>
      <c r="H667" s="1">
        <v>10.51</v>
      </c>
      <c r="I667" s="1">
        <v>1</v>
      </c>
      <c r="J667" s="13">
        <v>12871</v>
      </c>
      <c r="M667">
        <v>20548</v>
      </c>
    </row>
    <row r="668" spans="3:13" x14ac:dyDescent="0.25">
      <c r="C668" s="3">
        <v>663</v>
      </c>
      <c r="D668" s="1">
        <v>18</v>
      </c>
      <c r="E668" s="1" t="s">
        <v>3</v>
      </c>
      <c r="F668" s="1" t="s">
        <v>4</v>
      </c>
      <c r="G668" s="1" t="s">
        <v>5</v>
      </c>
      <c r="H668" s="1">
        <v>11.22</v>
      </c>
      <c r="I668" s="1">
        <v>0</v>
      </c>
      <c r="J668" s="13">
        <v>2841</v>
      </c>
      <c r="M668">
        <v>31309</v>
      </c>
    </row>
    <row r="669" spans="3:13" x14ac:dyDescent="0.25">
      <c r="C669" s="3">
        <v>664</v>
      </c>
      <c r="D669" s="1">
        <v>64</v>
      </c>
      <c r="E669" s="1" t="s">
        <v>0</v>
      </c>
      <c r="F669" s="1" t="s">
        <v>1</v>
      </c>
      <c r="G669" s="1" t="s">
        <v>5</v>
      </c>
      <c r="H669" s="1">
        <v>7.66</v>
      </c>
      <c r="I669" s="1">
        <v>0</v>
      </c>
      <c r="J669" s="13">
        <v>67595</v>
      </c>
      <c r="M669">
        <v>40173</v>
      </c>
    </row>
    <row r="670" spans="3:13" x14ac:dyDescent="0.25">
      <c r="C670" s="3">
        <v>665</v>
      </c>
      <c r="D670" s="1">
        <v>43</v>
      </c>
      <c r="E670" s="1" t="s">
        <v>3</v>
      </c>
      <c r="F670" s="1" t="s">
        <v>1</v>
      </c>
      <c r="G670" s="1" t="s">
        <v>5</v>
      </c>
      <c r="H670" s="1">
        <v>12.69</v>
      </c>
      <c r="I670" s="1">
        <v>2</v>
      </c>
      <c r="J670" s="13">
        <v>106401</v>
      </c>
      <c r="M670">
        <v>15294</v>
      </c>
    </row>
    <row r="671" spans="3:13" x14ac:dyDescent="0.25">
      <c r="C671" s="3">
        <v>666</v>
      </c>
      <c r="D671" s="1">
        <v>49</v>
      </c>
      <c r="E671" s="1" t="s">
        <v>3</v>
      </c>
      <c r="F671" s="1" t="s">
        <v>4</v>
      </c>
      <c r="G671" s="1" t="s">
        <v>2</v>
      </c>
      <c r="H671" s="1">
        <v>9.57</v>
      </c>
      <c r="I671" s="1">
        <v>1</v>
      </c>
      <c r="J671" s="13">
        <v>21759</v>
      </c>
      <c r="M671">
        <v>33484</v>
      </c>
    </row>
    <row r="672" spans="3:13" x14ac:dyDescent="0.25">
      <c r="C672" s="3">
        <v>667</v>
      </c>
      <c r="D672" s="1">
        <v>40</v>
      </c>
      <c r="E672" s="1" t="s">
        <v>0</v>
      </c>
      <c r="F672" s="1" t="s">
        <v>1</v>
      </c>
      <c r="G672" s="1" t="s">
        <v>6</v>
      </c>
      <c r="H672" s="1">
        <v>10.92</v>
      </c>
      <c r="I672" s="1">
        <v>2</v>
      </c>
      <c r="J672" s="13">
        <v>100008</v>
      </c>
      <c r="M672">
        <v>13166</v>
      </c>
    </row>
    <row r="673" spans="3:13" x14ac:dyDescent="0.25">
      <c r="C673" s="3">
        <v>668</v>
      </c>
      <c r="D673" s="1">
        <v>62</v>
      </c>
      <c r="E673" s="1" t="s">
        <v>3</v>
      </c>
      <c r="F673" s="1" t="s">
        <v>1</v>
      </c>
      <c r="G673" s="1" t="s">
        <v>7</v>
      </c>
      <c r="H673" s="1">
        <v>10.67</v>
      </c>
      <c r="I673" s="1">
        <v>0</v>
      </c>
      <c r="J673" s="13">
        <v>114276</v>
      </c>
      <c r="M673">
        <v>11799</v>
      </c>
    </row>
    <row r="674" spans="3:13" x14ac:dyDescent="0.25">
      <c r="C674" s="3">
        <v>669</v>
      </c>
      <c r="D674" s="1">
        <v>40</v>
      </c>
      <c r="E674" s="1" t="s">
        <v>0</v>
      </c>
      <c r="F674" s="1" t="s">
        <v>4</v>
      </c>
      <c r="G674" s="1" t="s">
        <v>5</v>
      </c>
      <c r="H674" s="1">
        <v>9.94</v>
      </c>
      <c r="I674" s="1">
        <v>1</v>
      </c>
      <c r="J674" s="13">
        <v>16251</v>
      </c>
      <c r="M674">
        <v>29360</v>
      </c>
    </row>
    <row r="675" spans="3:13" x14ac:dyDescent="0.25">
      <c r="C675" s="3">
        <v>670</v>
      </c>
      <c r="D675" s="1">
        <v>30</v>
      </c>
      <c r="E675" s="1" t="s">
        <v>3</v>
      </c>
      <c r="F675" s="1" t="s">
        <v>4</v>
      </c>
      <c r="G675" s="1" t="s">
        <v>5</v>
      </c>
      <c r="H675" s="1">
        <v>10.52</v>
      </c>
      <c r="I675" s="1">
        <v>3</v>
      </c>
      <c r="J675" s="13">
        <v>12094</v>
      </c>
      <c r="M675">
        <v>13444</v>
      </c>
    </row>
    <row r="676" spans="3:13" x14ac:dyDescent="0.25">
      <c r="C676" s="3">
        <v>671</v>
      </c>
      <c r="D676" s="1">
        <v>29</v>
      </c>
      <c r="E676" s="1" t="s">
        <v>0</v>
      </c>
      <c r="F676" s="1" t="s">
        <v>4</v>
      </c>
      <c r="G676" s="1" t="s">
        <v>7</v>
      </c>
      <c r="H676" s="1">
        <v>10.39</v>
      </c>
      <c r="I676" s="1">
        <v>0</v>
      </c>
      <c r="J676" s="13">
        <v>9859</v>
      </c>
      <c r="M676">
        <v>17901</v>
      </c>
    </row>
    <row r="677" spans="3:13" x14ac:dyDescent="0.25">
      <c r="C677" s="3">
        <v>672</v>
      </c>
      <c r="D677" s="1">
        <v>36</v>
      </c>
      <c r="E677" s="1" t="s">
        <v>3</v>
      </c>
      <c r="F677" s="1" t="s">
        <v>4</v>
      </c>
      <c r="G677" s="1" t="s">
        <v>5</v>
      </c>
      <c r="H677" s="1">
        <v>9.9</v>
      </c>
      <c r="I677" s="1">
        <v>0</v>
      </c>
      <c r="J677" s="13">
        <v>10999</v>
      </c>
      <c r="M677">
        <v>11006</v>
      </c>
    </row>
    <row r="678" spans="3:13" x14ac:dyDescent="0.25">
      <c r="C678" s="3">
        <v>673</v>
      </c>
      <c r="D678" s="1">
        <v>41</v>
      </c>
      <c r="E678" s="1" t="s">
        <v>0</v>
      </c>
      <c r="F678" s="1" t="s">
        <v>4</v>
      </c>
      <c r="G678" s="1" t="s">
        <v>5</v>
      </c>
      <c r="H678" s="1">
        <v>10.34</v>
      </c>
      <c r="I678" s="1">
        <v>0</v>
      </c>
      <c r="J678" s="13">
        <v>15463</v>
      </c>
      <c r="M678">
        <v>29144</v>
      </c>
    </row>
    <row r="679" spans="3:13" x14ac:dyDescent="0.25">
      <c r="C679" s="3">
        <v>674</v>
      </c>
      <c r="D679" s="1">
        <v>44</v>
      </c>
      <c r="E679" s="1" t="s">
        <v>0</v>
      </c>
      <c r="F679" s="1" t="s">
        <v>1</v>
      </c>
      <c r="G679" s="1" t="s">
        <v>5</v>
      </c>
      <c r="H679" s="1">
        <v>14.63</v>
      </c>
      <c r="I679" s="1">
        <v>2</v>
      </c>
      <c r="J679" s="13">
        <v>115502</v>
      </c>
      <c r="M679">
        <v>16006</v>
      </c>
    </row>
    <row r="680" spans="3:13" x14ac:dyDescent="0.25">
      <c r="C680" s="3">
        <v>675</v>
      </c>
      <c r="D680" s="1">
        <v>45</v>
      </c>
      <c r="E680" s="1" t="s">
        <v>3</v>
      </c>
      <c r="F680" s="1" t="s">
        <v>4</v>
      </c>
      <c r="G680" s="1" t="s">
        <v>6</v>
      </c>
      <c r="H680" s="1">
        <v>7.12</v>
      </c>
      <c r="I680" s="1">
        <v>0</v>
      </c>
      <c r="J680" s="13">
        <v>18057</v>
      </c>
      <c r="M680">
        <v>31555</v>
      </c>
    </row>
    <row r="681" spans="3:13" x14ac:dyDescent="0.25">
      <c r="C681" s="3">
        <v>676</v>
      </c>
      <c r="D681" s="1">
        <v>55</v>
      </c>
      <c r="E681" s="1" t="s">
        <v>0</v>
      </c>
      <c r="F681" s="1" t="s">
        <v>4</v>
      </c>
      <c r="G681" s="1" t="s">
        <v>5</v>
      </c>
      <c r="H681" s="1">
        <v>13.6</v>
      </c>
      <c r="I681" s="1">
        <v>3</v>
      </c>
      <c r="J681" s="13">
        <v>31215</v>
      </c>
      <c r="M681">
        <v>3816</v>
      </c>
    </row>
    <row r="682" spans="3:13" x14ac:dyDescent="0.25">
      <c r="C682" s="3">
        <v>677</v>
      </c>
      <c r="D682" s="1">
        <v>60</v>
      </c>
      <c r="E682" s="1" t="s">
        <v>3</v>
      </c>
      <c r="F682" s="1" t="s">
        <v>1</v>
      </c>
      <c r="G682" s="1" t="s">
        <v>6</v>
      </c>
      <c r="H682" s="1">
        <v>10.45</v>
      </c>
      <c r="I682" s="1">
        <v>3</v>
      </c>
      <c r="J682" s="13">
        <v>115326</v>
      </c>
      <c r="M682">
        <v>30810</v>
      </c>
    </row>
    <row r="683" spans="3:13" x14ac:dyDescent="0.25">
      <c r="C683" s="3">
        <v>678</v>
      </c>
      <c r="D683" s="1">
        <v>56</v>
      </c>
      <c r="E683" s="1" t="s">
        <v>3</v>
      </c>
      <c r="F683" s="1" t="s">
        <v>4</v>
      </c>
      <c r="G683" s="1" t="s">
        <v>2</v>
      </c>
      <c r="H683" s="1">
        <v>12.03</v>
      </c>
      <c r="I683" s="1">
        <v>3</v>
      </c>
      <c r="J683" s="13">
        <v>30909</v>
      </c>
      <c r="M683">
        <v>25180</v>
      </c>
    </row>
    <row r="684" spans="3:13" x14ac:dyDescent="0.25">
      <c r="C684" s="3">
        <v>679</v>
      </c>
      <c r="D684" s="1">
        <v>49</v>
      </c>
      <c r="E684" s="1" t="s">
        <v>0</v>
      </c>
      <c r="F684" s="1" t="s">
        <v>4</v>
      </c>
      <c r="G684" s="1" t="s">
        <v>6</v>
      </c>
      <c r="H684" s="1">
        <v>7.73</v>
      </c>
      <c r="I684" s="1">
        <v>2</v>
      </c>
      <c r="J684" s="13">
        <v>25392</v>
      </c>
      <c r="M684">
        <v>24682</v>
      </c>
    </row>
    <row r="685" spans="3:13" x14ac:dyDescent="0.25">
      <c r="C685" s="3">
        <v>680</v>
      </c>
      <c r="D685" s="1">
        <v>21</v>
      </c>
      <c r="E685" s="1" t="s">
        <v>0</v>
      </c>
      <c r="F685" s="1" t="s">
        <v>4</v>
      </c>
      <c r="G685" s="1" t="s">
        <v>2</v>
      </c>
      <c r="H685" s="1">
        <v>5.8</v>
      </c>
      <c r="I685" s="1">
        <v>1</v>
      </c>
      <c r="J685" s="13">
        <v>6463</v>
      </c>
      <c r="M685">
        <v>6095</v>
      </c>
    </row>
    <row r="686" spans="3:13" x14ac:dyDescent="0.25">
      <c r="C686" s="3">
        <v>681</v>
      </c>
      <c r="D686" s="1">
        <v>19</v>
      </c>
      <c r="E686" s="1" t="s">
        <v>3</v>
      </c>
      <c r="F686" s="1" t="s">
        <v>4</v>
      </c>
      <c r="G686" s="1" t="s">
        <v>2</v>
      </c>
      <c r="H686" s="1">
        <v>6.77</v>
      </c>
      <c r="I686" s="1">
        <v>0</v>
      </c>
      <c r="J686" s="13">
        <v>3106</v>
      </c>
      <c r="M686">
        <v>7435</v>
      </c>
    </row>
    <row r="687" spans="3:13" x14ac:dyDescent="0.25">
      <c r="C687" s="3">
        <v>682</v>
      </c>
      <c r="D687" s="1">
        <v>39</v>
      </c>
      <c r="E687" s="1" t="s">
        <v>3</v>
      </c>
      <c r="F687" s="1" t="s">
        <v>1</v>
      </c>
      <c r="G687" s="1" t="s">
        <v>2</v>
      </c>
      <c r="H687" s="1">
        <v>11.77</v>
      </c>
      <c r="I687" s="1">
        <v>2</v>
      </c>
      <c r="J687" s="13">
        <v>100260</v>
      </c>
      <c r="M687">
        <v>26504</v>
      </c>
    </row>
    <row r="688" spans="3:13" x14ac:dyDescent="0.25">
      <c r="C688" s="3">
        <v>683</v>
      </c>
      <c r="D688" s="1">
        <v>53</v>
      </c>
      <c r="E688" s="1" t="s">
        <v>3</v>
      </c>
      <c r="F688" s="1" t="s">
        <v>4</v>
      </c>
      <c r="G688" s="1" t="s">
        <v>6</v>
      </c>
      <c r="H688" s="1">
        <v>8.11</v>
      </c>
      <c r="I688" s="1">
        <v>0</v>
      </c>
      <c r="J688" s="13">
        <v>24659</v>
      </c>
      <c r="M688">
        <v>35299</v>
      </c>
    </row>
    <row r="689" spans="3:13" x14ac:dyDescent="0.25">
      <c r="C689" s="3">
        <v>684</v>
      </c>
      <c r="D689" s="1">
        <v>33</v>
      </c>
      <c r="E689" s="1" t="s">
        <v>0</v>
      </c>
      <c r="F689" s="1" t="s">
        <v>4</v>
      </c>
      <c r="G689" s="1" t="s">
        <v>2</v>
      </c>
      <c r="H689" s="1">
        <v>6.17</v>
      </c>
      <c r="I689" s="1">
        <v>1</v>
      </c>
      <c r="J689" s="13">
        <v>11915</v>
      </c>
      <c r="M689">
        <v>29324</v>
      </c>
    </row>
    <row r="690" spans="3:13" x14ac:dyDescent="0.25">
      <c r="C690" s="3">
        <v>685</v>
      </c>
      <c r="D690" s="1">
        <v>53</v>
      </c>
      <c r="E690" s="1" t="s">
        <v>3</v>
      </c>
      <c r="F690" s="1" t="s">
        <v>4</v>
      </c>
      <c r="G690" s="1" t="s">
        <v>7</v>
      </c>
      <c r="H690" s="1">
        <v>8.8000000000000007</v>
      </c>
      <c r="I690" s="1">
        <v>2</v>
      </c>
      <c r="J690" s="13">
        <v>28111</v>
      </c>
      <c r="M690">
        <v>4688</v>
      </c>
    </row>
    <row r="691" spans="3:13" x14ac:dyDescent="0.25">
      <c r="C691" s="3">
        <v>686</v>
      </c>
      <c r="D691" s="1">
        <v>42</v>
      </c>
      <c r="E691" s="1" t="s">
        <v>3</v>
      </c>
      <c r="F691" s="1" t="s">
        <v>4</v>
      </c>
      <c r="G691" s="1" t="s">
        <v>7</v>
      </c>
      <c r="H691" s="1">
        <v>8.7100000000000009</v>
      </c>
      <c r="I691" s="1">
        <v>2</v>
      </c>
      <c r="J691" s="13">
        <v>19324</v>
      </c>
      <c r="M691">
        <v>45545</v>
      </c>
    </row>
    <row r="692" spans="3:13" x14ac:dyDescent="0.25">
      <c r="C692" s="3">
        <v>687</v>
      </c>
      <c r="D692" s="1">
        <v>40</v>
      </c>
      <c r="E692" s="1" t="s">
        <v>3</v>
      </c>
      <c r="F692" s="1" t="s">
        <v>4</v>
      </c>
      <c r="G692" s="1" t="s">
        <v>5</v>
      </c>
      <c r="H692" s="1">
        <v>13.9</v>
      </c>
      <c r="I692" s="1">
        <v>0</v>
      </c>
      <c r="J692" s="13">
        <v>13597</v>
      </c>
      <c r="M692">
        <v>27414</v>
      </c>
    </row>
    <row r="693" spans="3:13" x14ac:dyDescent="0.25">
      <c r="C693" s="3">
        <v>688</v>
      </c>
      <c r="D693" s="1">
        <v>47</v>
      </c>
      <c r="E693" s="1" t="s">
        <v>0</v>
      </c>
      <c r="F693" s="1" t="s">
        <v>4</v>
      </c>
      <c r="G693" s="1" t="s">
        <v>2</v>
      </c>
      <c r="H693" s="1">
        <v>8.0299999999999994</v>
      </c>
      <c r="I693" s="1">
        <v>1</v>
      </c>
      <c r="J693" s="13">
        <v>65591</v>
      </c>
      <c r="M693">
        <v>17878</v>
      </c>
    </row>
    <row r="694" spans="3:13" x14ac:dyDescent="0.25">
      <c r="C694" s="3">
        <v>689</v>
      </c>
      <c r="D694" s="1">
        <v>27</v>
      </c>
      <c r="E694" s="1" t="s">
        <v>3</v>
      </c>
      <c r="F694" s="1" t="s">
        <v>1</v>
      </c>
      <c r="G694" s="1" t="s">
        <v>5</v>
      </c>
      <c r="H694" s="1">
        <v>10.38</v>
      </c>
      <c r="I694" s="1">
        <v>1</v>
      </c>
      <c r="J694" s="13">
        <v>87016</v>
      </c>
      <c r="M694">
        <v>30674</v>
      </c>
    </row>
    <row r="695" spans="3:13" x14ac:dyDescent="0.25">
      <c r="C695" s="3">
        <v>690</v>
      </c>
      <c r="D695" s="1">
        <v>21</v>
      </c>
      <c r="E695" s="1" t="s">
        <v>3</v>
      </c>
      <c r="F695" s="1" t="s">
        <v>4</v>
      </c>
      <c r="G695" s="1" t="s">
        <v>7</v>
      </c>
      <c r="H695" s="1">
        <v>9.1199999999999992</v>
      </c>
      <c r="I695" s="1">
        <v>0</v>
      </c>
      <c r="J695" s="13">
        <v>5260</v>
      </c>
      <c r="M695">
        <v>13645</v>
      </c>
    </row>
    <row r="696" spans="3:13" x14ac:dyDescent="0.25">
      <c r="C696" s="3">
        <v>691</v>
      </c>
      <c r="D696" s="1">
        <v>47</v>
      </c>
      <c r="E696" s="1" t="s">
        <v>3</v>
      </c>
      <c r="F696" s="1" t="s">
        <v>4</v>
      </c>
      <c r="G696" s="1" t="s">
        <v>2</v>
      </c>
      <c r="H696" s="1">
        <v>12.07</v>
      </c>
      <c r="I696" s="1">
        <v>1</v>
      </c>
      <c r="J696" s="13">
        <v>20170</v>
      </c>
      <c r="M696">
        <v>21956</v>
      </c>
    </row>
    <row r="697" spans="3:13" x14ac:dyDescent="0.25">
      <c r="C697" s="3">
        <v>692</v>
      </c>
      <c r="D697" s="1">
        <v>20</v>
      </c>
      <c r="E697" s="1" t="s">
        <v>3</v>
      </c>
      <c r="F697" s="1" t="s">
        <v>4</v>
      </c>
      <c r="G697" s="1" t="s">
        <v>6</v>
      </c>
      <c r="H697" s="1">
        <v>10.8</v>
      </c>
      <c r="I697" s="1">
        <v>1</v>
      </c>
      <c r="J697" s="13">
        <v>5906</v>
      </c>
      <c r="M697">
        <v>16501</v>
      </c>
    </row>
    <row r="698" spans="3:13" x14ac:dyDescent="0.25">
      <c r="C698" s="3">
        <v>693</v>
      </c>
      <c r="D698" s="1">
        <v>24</v>
      </c>
      <c r="E698" s="1" t="s">
        <v>3</v>
      </c>
      <c r="F698" s="1" t="s">
        <v>4</v>
      </c>
      <c r="G698" s="1" t="s">
        <v>6</v>
      </c>
      <c r="H698" s="1">
        <v>7.89</v>
      </c>
      <c r="I698" s="1">
        <v>0</v>
      </c>
      <c r="J698" s="13">
        <v>5882</v>
      </c>
      <c r="M698">
        <v>2854</v>
      </c>
    </row>
    <row r="699" spans="3:13" x14ac:dyDescent="0.25">
      <c r="C699" s="3">
        <v>694</v>
      </c>
      <c r="D699" s="1">
        <v>27</v>
      </c>
      <c r="E699" s="1" t="s">
        <v>0</v>
      </c>
      <c r="F699" s="1" t="s">
        <v>4</v>
      </c>
      <c r="G699" s="1" t="s">
        <v>2</v>
      </c>
      <c r="H699" s="1">
        <v>11.6</v>
      </c>
      <c r="I699" s="1">
        <v>1</v>
      </c>
      <c r="J699" s="13">
        <v>8945</v>
      </c>
      <c r="M699">
        <v>28940</v>
      </c>
    </row>
    <row r="700" spans="3:13" x14ac:dyDescent="0.25">
      <c r="C700" s="3">
        <v>695</v>
      </c>
      <c r="D700" s="1">
        <v>26</v>
      </c>
      <c r="E700" s="1" t="s">
        <v>0</v>
      </c>
      <c r="F700" s="1" t="s">
        <v>4</v>
      </c>
      <c r="G700" s="1" t="s">
        <v>6</v>
      </c>
      <c r="H700" s="1">
        <v>13.4</v>
      </c>
      <c r="I700" s="1">
        <v>0</v>
      </c>
      <c r="J700" s="13">
        <v>8003</v>
      </c>
      <c r="M700">
        <v>32824</v>
      </c>
    </row>
    <row r="701" spans="3:13" x14ac:dyDescent="0.25">
      <c r="C701" s="3">
        <v>696</v>
      </c>
      <c r="D701" s="1">
        <v>53</v>
      </c>
      <c r="E701" s="1" t="s">
        <v>0</v>
      </c>
      <c r="F701" s="1" t="s">
        <v>4</v>
      </c>
      <c r="G701" s="1" t="s">
        <v>7</v>
      </c>
      <c r="H701" s="1">
        <v>10.77</v>
      </c>
      <c r="I701" s="1">
        <v>2</v>
      </c>
      <c r="J701" s="13">
        <v>72966</v>
      </c>
      <c r="M701">
        <v>10979</v>
      </c>
    </row>
    <row r="702" spans="3:13" x14ac:dyDescent="0.25">
      <c r="C702" s="3">
        <v>697</v>
      </c>
      <c r="D702" s="1">
        <v>41</v>
      </c>
      <c r="E702" s="1" t="s">
        <v>3</v>
      </c>
      <c r="F702" s="1" t="s">
        <v>1</v>
      </c>
      <c r="G702" s="1" t="s">
        <v>5</v>
      </c>
      <c r="H702" s="1">
        <v>11.92</v>
      </c>
      <c r="I702" s="1">
        <v>1</v>
      </c>
      <c r="J702" s="13">
        <v>100684</v>
      </c>
      <c r="M702">
        <v>21145</v>
      </c>
    </row>
    <row r="703" spans="3:13" x14ac:dyDescent="0.25">
      <c r="C703" s="3">
        <v>698</v>
      </c>
      <c r="D703" s="1">
        <v>56</v>
      </c>
      <c r="E703" s="1" t="s">
        <v>3</v>
      </c>
      <c r="F703" s="1" t="s">
        <v>4</v>
      </c>
      <c r="G703" s="1" t="s">
        <v>6</v>
      </c>
      <c r="H703" s="1">
        <v>11.24</v>
      </c>
      <c r="I703" s="1">
        <v>0</v>
      </c>
      <c r="J703" s="13">
        <v>27441</v>
      </c>
      <c r="M703">
        <v>8481</v>
      </c>
    </row>
    <row r="704" spans="3:13" x14ac:dyDescent="0.25">
      <c r="C704" s="3">
        <v>699</v>
      </c>
      <c r="D704" s="1">
        <v>23</v>
      </c>
      <c r="E704" s="1" t="s">
        <v>0</v>
      </c>
      <c r="F704" s="1" t="s">
        <v>4</v>
      </c>
      <c r="G704" s="1" t="s">
        <v>5</v>
      </c>
      <c r="H704" s="1">
        <v>13.09</v>
      </c>
      <c r="I704" s="1">
        <v>2</v>
      </c>
      <c r="J704" s="13">
        <v>8752</v>
      </c>
      <c r="M704">
        <v>14917</v>
      </c>
    </row>
    <row r="705" spans="3:13" x14ac:dyDescent="0.25">
      <c r="C705" s="3">
        <v>700</v>
      </c>
      <c r="D705" s="1">
        <v>21</v>
      </c>
      <c r="E705" s="1" t="s">
        <v>0</v>
      </c>
      <c r="F705" s="1" t="s">
        <v>4</v>
      </c>
      <c r="G705" s="1" t="s">
        <v>5</v>
      </c>
      <c r="H705" s="1">
        <v>11.62</v>
      </c>
      <c r="I705" s="1">
        <v>0</v>
      </c>
      <c r="J705" s="13">
        <v>5051</v>
      </c>
      <c r="M705">
        <v>17123</v>
      </c>
    </row>
    <row r="706" spans="3:13" x14ac:dyDescent="0.25">
      <c r="C706" s="3">
        <v>701</v>
      </c>
      <c r="D706" s="1">
        <v>50</v>
      </c>
      <c r="E706" s="1" t="s">
        <v>0</v>
      </c>
      <c r="F706" s="1" t="s">
        <v>4</v>
      </c>
      <c r="G706" s="1" t="s">
        <v>7</v>
      </c>
      <c r="H706" s="1">
        <v>14.92</v>
      </c>
      <c r="I706" s="1">
        <v>0</v>
      </c>
      <c r="J706" s="13">
        <v>23854</v>
      </c>
      <c r="M706">
        <v>22228</v>
      </c>
    </row>
    <row r="707" spans="3:13" x14ac:dyDescent="0.25">
      <c r="C707" s="3">
        <v>702</v>
      </c>
      <c r="D707" s="1">
        <v>53</v>
      </c>
      <c r="E707" s="1" t="s">
        <v>3</v>
      </c>
      <c r="F707" s="1" t="s">
        <v>4</v>
      </c>
      <c r="G707" s="1" t="s">
        <v>5</v>
      </c>
      <c r="H707" s="1">
        <v>13.82</v>
      </c>
      <c r="I707" s="1">
        <v>0</v>
      </c>
      <c r="J707" s="13">
        <v>23761</v>
      </c>
      <c r="M707">
        <v>6725</v>
      </c>
    </row>
    <row r="708" spans="3:13" x14ac:dyDescent="0.25">
      <c r="C708" s="3">
        <v>703</v>
      </c>
      <c r="D708" s="1">
        <v>34</v>
      </c>
      <c r="E708" s="1" t="s">
        <v>0</v>
      </c>
      <c r="F708" s="1" t="s">
        <v>4</v>
      </c>
      <c r="G708" s="1" t="s">
        <v>6</v>
      </c>
      <c r="H708" s="1">
        <v>8.8000000000000007</v>
      </c>
      <c r="I708" s="1">
        <v>1</v>
      </c>
      <c r="J708" s="13">
        <v>13463</v>
      </c>
      <c r="M708">
        <v>65351</v>
      </c>
    </row>
    <row r="709" spans="3:13" x14ac:dyDescent="0.25">
      <c r="C709" s="3">
        <v>704</v>
      </c>
      <c r="D709" s="1">
        <v>47</v>
      </c>
      <c r="E709" s="1" t="s">
        <v>0</v>
      </c>
      <c r="F709" s="1" t="s">
        <v>4</v>
      </c>
      <c r="G709" s="1" t="s">
        <v>6</v>
      </c>
      <c r="H709" s="1">
        <v>9.85</v>
      </c>
      <c r="I709" s="1">
        <v>1</v>
      </c>
      <c r="J709" s="13">
        <v>22327</v>
      </c>
      <c r="M709">
        <v>16634</v>
      </c>
    </row>
    <row r="710" spans="3:13" x14ac:dyDescent="0.25">
      <c r="C710" s="3">
        <v>705</v>
      </c>
      <c r="D710" s="1">
        <v>33</v>
      </c>
      <c r="E710" s="1" t="s">
        <v>0</v>
      </c>
      <c r="F710" s="1" t="s">
        <v>4</v>
      </c>
      <c r="G710" s="1" t="s">
        <v>2</v>
      </c>
      <c r="H710" s="1">
        <v>10.97</v>
      </c>
      <c r="I710" s="1">
        <v>2</v>
      </c>
      <c r="J710" s="13">
        <v>13438</v>
      </c>
      <c r="M710">
        <v>15706</v>
      </c>
    </row>
    <row r="711" spans="3:13" x14ac:dyDescent="0.25">
      <c r="C711" s="3">
        <v>706</v>
      </c>
      <c r="D711" s="1">
        <v>51</v>
      </c>
      <c r="E711" s="1" t="s">
        <v>0</v>
      </c>
      <c r="F711" s="1" t="s">
        <v>1</v>
      </c>
      <c r="G711" s="1" t="s">
        <v>5</v>
      </c>
      <c r="H711" s="1">
        <v>12.69</v>
      </c>
      <c r="I711" s="1">
        <v>0</v>
      </c>
      <c r="J711" s="13">
        <v>111001</v>
      </c>
      <c r="M711">
        <v>15780</v>
      </c>
    </row>
    <row r="712" spans="3:13" x14ac:dyDescent="0.25">
      <c r="C712" s="3">
        <v>707</v>
      </c>
      <c r="D712" s="1">
        <v>49</v>
      </c>
      <c r="E712" s="1" t="s">
        <v>3</v>
      </c>
      <c r="F712" s="1" t="s">
        <v>4</v>
      </c>
      <c r="G712" s="1" t="s">
        <v>6</v>
      </c>
      <c r="H712" s="1">
        <v>9.56</v>
      </c>
      <c r="I712" s="1">
        <v>3</v>
      </c>
      <c r="J712" s="13">
        <v>25661</v>
      </c>
      <c r="M712">
        <v>8608</v>
      </c>
    </row>
    <row r="713" spans="3:13" x14ac:dyDescent="0.25">
      <c r="C713" s="3">
        <v>708</v>
      </c>
      <c r="D713" s="1">
        <v>31</v>
      </c>
      <c r="E713" s="1" t="s">
        <v>0</v>
      </c>
      <c r="F713" s="1" t="s">
        <v>4</v>
      </c>
      <c r="G713" s="1" t="s">
        <v>7</v>
      </c>
      <c r="H713" s="1">
        <v>10.17</v>
      </c>
      <c r="I713" s="1">
        <v>3</v>
      </c>
      <c r="J713" s="13">
        <v>15283</v>
      </c>
      <c r="M713">
        <v>6973</v>
      </c>
    </row>
    <row r="714" spans="3:13" x14ac:dyDescent="0.25">
      <c r="C714" s="3">
        <v>709</v>
      </c>
      <c r="D714" s="1">
        <v>36</v>
      </c>
      <c r="E714" s="1" t="s">
        <v>0</v>
      </c>
      <c r="F714" s="1" t="s">
        <v>4</v>
      </c>
      <c r="G714" s="1" t="s">
        <v>7</v>
      </c>
      <c r="H714" s="1">
        <v>9.25</v>
      </c>
      <c r="I714" s="1">
        <v>0</v>
      </c>
      <c r="J714" s="13">
        <v>13673</v>
      </c>
      <c r="M714">
        <v>6465</v>
      </c>
    </row>
    <row r="715" spans="3:13" x14ac:dyDescent="0.25">
      <c r="C715" s="3">
        <v>710</v>
      </c>
      <c r="D715" s="1">
        <v>18</v>
      </c>
      <c r="E715" s="1" t="s">
        <v>3</v>
      </c>
      <c r="F715" s="1" t="s">
        <v>4</v>
      </c>
      <c r="G715" s="1" t="s">
        <v>5</v>
      </c>
      <c r="H715" s="1">
        <v>11.73</v>
      </c>
      <c r="I715" s="1">
        <v>1</v>
      </c>
      <c r="J715" s="13">
        <v>4319</v>
      </c>
      <c r="M715">
        <v>12195</v>
      </c>
    </row>
    <row r="716" spans="3:13" x14ac:dyDescent="0.25">
      <c r="C716" s="3">
        <v>711</v>
      </c>
      <c r="D716" s="1">
        <v>50</v>
      </c>
      <c r="E716" s="1" t="s">
        <v>0</v>
      </c>
      <c r="F716" s="1" t="s">
        <v>4</v>
      </c>
      <c r="G716" s="1" t="s">
        <v>5</v>
      </c>
      <c r="H716" s="1">
        <v>7.85</v>
      </c>
      <c r="I716" s="1">
        <v>2</v>
      </c>
      <c r="J716" s="13">
        <v>25268</v>
      </c>
      <c r="M716">
        <v>13180</v>
      </c>
    </row>
    <row r="717" spans="3:13" x14ac:dyDescent="0.25">
      <c r="C717" s="3">
        <v>712</v>
      </c>
      <c r="D717" s="1">
        <v>43</v>
      </c>
      <c r="E717" s="1" t="s">
        <v>0</v>
      </c>
      <c r="F717" s="1" t="s">
        <v>4</v>
      </c>
      <c r="G717" s="1" t="s">
        <v>6</v>
      </c>
      <c r="H717" s="1">
        <v>10.23</v>
      </c>
      <c r="I717" s="1">
        <v>2</v>
      </c>
      <c r="J717" s="13">
        <v>20777</v>
      </c>
      <c r="M717">
        <v>4206</v>
      </c>
    </row>
    <row r="718" spans="3:13" x14ac:dyDescent="0.25">
      <c r="C718" s="3">
        <v>713</v>
      </c>
      <c r="D718" s="1">
        <v>20</v>
      </c>
      <c r="E718" s="1" t="s">
        <v>3</v>
      </c>
      <c r="F718" s="1" t="s">
        <v>4</v>
      </c>
      <c r="G718" s="1" t="s">
        <v>7</v>
      </c>
      <c r="H718" s="1">
        <v>13.49</v>
      </c>
      <c r="I718" s="1">
        <v>0</v>
      </c>
      <c r="J718" s="13">
        <v>4961</v>
      </c>
      <c r="M718">
        <v>29863</v>
      </c>
    </row>
    <row r="719" spans="3:13" x14ac:dyDescent="0.25">
      <c r="C719" s="3">
        <v>714</v>
      </c>
      <c r="D719" s="1">
        <v>24</v>
      </c>
      <c r="E719" s="1" t="s">
        <v>0</v>
      </c>
      <c r="F719" s="1" t="s">
        <v>4</v>
      </c>
      <c r="G719" s="1" t="s">
        <v>2</v>
      </c>
      <c r="H719" s="1">
        <v>7.53</v>
      </c>
      <c r="I719" s="1">
        <v>0</v>
      </c>
      <c r="J719" s="13">
        <v>6144</v>
      </c>
      <c r="M719">
        <v>18110</v>
      </c>
    </row>
    <row r="720" spans="3:13" x14ac:dyDescent="0.25">
      <c r="C720" s="3">
        <v>715</v>
      </c>
      <c r="D720" s="1">
        <v>60</v>
      </c>
      <c r="E720" s="1" t="s">
        <v>3</v>
      </c>
      <c r="F720" s="1" t="s">
        <v>4</v>
      </c>
      <c r="G720" s="1" t="s">
        <v>2</v>
      </c>
      <c r="H720" s="1">
        <v>9.6300000000000008</v>
      </c>
      <c r="I720" s="1">
        <v>0</v>
      </c>
      <c r="J720" s="13">
        <v>30367</v>
      </c>
      <c r="M720">
        <v>26057</v>
      </c>
    </row>
    <row r="721" spans="3:13" x14ac:dyDescent="0.25">
      <c r="C721" s="3">
        <v>716</v>
      </c>
      <c r="D721" s="1">
        <v>49</v>
      </c>
      <c r="E721" s="1" t="s">
        <v>0</v>
      </c>
      <c r="F721" s="1" t="s">
        <v>4</v>
      </c>
      <c r="G721" s="1" t="s">
        <v>6</v>
      </c>
      <c r="H721" s="1">
        <v>7.54</v>
      </c>
      <c r="I721" s="1">
        <v>1</v>
      </c>
      <c r="J721" s="13">
        <v>23917</v>
      </c>
      <c r="M721">
        <v>33888</v>
      </c>
    </row>
    <row r="722" spans="3:13" x14ac:dyDescent="0.25">
      <c r="C722" s="3">
        <v>717</v>
      </c>
      <c r="D722" s="1">
        <v>60</v>
      </c>
      <c r="E722" s="1" t="s">
        <v>3</v>
      </c>
      <c r="F722" s="1" t="s">
        <v>4</v>
      </c>
      <c r="G722" s="1" t="s">
        <v>6</v>
      </c>
      <c r="H722" s="1">
        <v>8.11</v>
      </c>
      <c r="I722" s="1">
        <v>1</v>
      </c>
      <c r="J722" s="13">
        <v>32782</v>
      </c>
      <c r="M722">
        <v>32660</v>
      </c>
    </row>
    <row r="723" spans="3:13" x14ac:dyDescent="0.25">
      <c r="C723" s="3">
        <v>718</v>
      </c>
      <c r="D723" s="1">
        <v>51</v>
      </c>
      <c r="E723" s="1" t="s">
        <v>0</v>
      </c>
      <c r="F723" s="1" t="s">
        <v>4</v>
      </c>
      <c r="G723" s="1" t="s">
        <v>6</v>
      </c>
      <c r="H723" s="1">
        <v>12.22</v>
      </c>
      <c r="I723" s="1">
        <v>2</v>
      </c>
      <c r="J723" s="13">
        <v>27120</v>
      </c>
      <c r="M723">
        <v>5554</v>
      </c>
    </row>
    <row r="724" spans="3:13" x14ac:dyDescent="0.25">
      <c r="C724" s="3">
        <v>719</v>
      </c>
      <c r="D724" s="1">
        <v>58</v>
      </c>
      <c r="E724" s="1" t="s">
        <v>0</v>
      </c>
      <c r="F724" s="1" t="s">
        <v>4</v>
      </c>
      <c r="G724" s="1" t="s">
        <v>6</v>
      </c>
      <c r="H724" s="1">
        <v>11.15</v>
      </c>
      <c r="I724" s="1">
        <v>0</v>
      </c>
      <c r="J724" s="13">
        <v>30579</v>
      </c>
      <c r="M724">
        <v>4086</v>
      </c>
    </row>
    <row r="725" spans="3:13" x14ac:dyDescent="0.25">
      <c r="C725" s="3">
        <v>720</v>
      </c>
      <c r="D725" s="1">
        <v>51</v>
      </c>
      <c r="E725" s="1" t="s">
        <v>0</v>
      </c>
      <c r="F725" s="1" t="s">
        <v>4</v>
      </c>
      <c r="G725" s="1" t="s">
        <v>7</v>
      </c>
      <c r="H725" s="1">
        <v>13.55</v>
      </c>
      <c r="I725" s="1">
        <v>0</v>
      </c>
      <c r="J725" s="13">
        <v>24689</v>
      </c>
      <c r="M725">
        <v>5293</v>
      </c>
    </row>
    <row r="726" spans="3:13" x14ac:dyDescent="0.25">
      <c r="C726" s="3">
        <v>721</v>
      </c>
      <c r="D726" s="1">
        <v>53</v>
      </c>
      <c r="E726" s="1" t="s">
        <v>3</v>
      </c>
      <c r="F726" s="1" t="s">
        <v>4</v>
      </c>
      <c r="G726" s="1" t="s">
        <v>2</v>
      </c>
      <c r="H726" s="1">
        <v>12.2</v>
      </c>
      <c r="I726" s="1">
        <v>3</v>
      </c>
      <c r="J726" s="13">
        <v>28161</v>
      </c>
      <c r="M726">
        <v>21722</v>
      </c>
    </row>
    <row r="727" spans="3:13" x14ac:dyDescent="0.25">
      <c r="C727" s="3">
        <v>722</v>
      </c>
      <c r="D727" s="1">
        <v>62</v>
      </c>
      <c r="E727" s="1" t="s">
        <v>3</v>
      </c>
      <c r="F727" s="1" t="s">
        <v>4</v>
      </c>
      <c r="G727" s="1" t="s">
        <v>2</v>
      </c>
      <c r="H727" s="1">
        <v>12.47</v>
      </c>
      <c r="I727" s="1">
        <v>0</v>
      </c>
      <c r="J727" s="13">
        <v>32448</v>
      </c>
      <c r="M727">
        <v>11653</v>
      </c>
    </row>
    <row r="728" spans="3:13" x14ac:dyDescent="0.25">
      <c r="C728" s="3">
        <v>723</v>
      </c>
      <c r="D728" s="1">
        <v>19</v>
      </c>
      <c r="E728" s="1" t="s">
        <v>3</v>
      </c>
      <c r="F728" s="1" t="s">
        <v>4</v>
      </c>
      <c r="G728" s="1" t="s">
        <v>2</v>
      </c>
      <c r="H728" s="1">
        <v>11.8</v>
      </c>
      <c r="I728" s="1">
        <v>0</v>
      </c>
      <c r="J728" s="13">
        <v>3158</v>
      </c>
      <c r="M728">
        <v>20314</v>
      </c>
    </row>
    <row r="729" spans="3:13" x14ac:dyDescent="0.25">
      <c r="C729" s="3">
        <v>724</v>
      </c>
      <c r="D729" s="1">
        <v>50</v>
      </c>
      <c r="E729" s="1" t="s">
        <v>0</v>
      </c>
      <c r="F729" s="1" t="s">
        <v>4</v>
      </c>
      <c r="G729" s="1" t="s">
        <v>7</v>
      </c>
      <c r="H729" s="1">
        <v>9.02</v>
      </c>
      <c r="I729" s="1">
        <v>1</v>
      </c>
      <c r="J729" s="13">
        <v>25265</v>
      </c>
      <c r="M729">
        <v>31611</v>
      </c>
    </row>
    <row r="730" spans="3:13" x14ac:dyDescent="0.25">
      <c r="C730" s="3">
        <v>725</v>
      </c>
      <c r="D730" s="1">
        <v>30</v>
      </c>
      <c r="E730" s="1" t="s">
        <v>0</v>
      </c>
      <c r="F730" s="1" t="s">
        <v>1</v>
      </c>
      <c r="G730" s="1" t="s">
        <v>5</v>
      </c>
      <c r="H730" s="1">
        <v>13.02</v>
      </c>
      <c r="I730" s="1">
        <v>3</v>
      </c>
      <c r="J730" s="13">
        <v>102331</v>
      </c>
      <c r="M730">
        <v>11410</v>
      </c>
    </row>
    <row r="731" spans="3:13" x14ac:dyDescent="0.25">
      <c r="C731" s="3">
        <v>726</v>
      </c>
      <c r="D731" s="1">
        <v>41</v>
      </c>
      <c r="E731" s="1" t="s">
        <v>3</v>
      </c>
      <c r="F731" s="1" t="s">
        <v>4</v>
      </c>
      <c r="G731" s="1" t="s">
        <v>6</v>
      </c>
      <c r="H731" s="1">
        <v>9.4700000000000006</v>
      </c>
      <c r="I731" s="1">
        <v>1</v>
      </c>
      <c r="J731" s="13">
        <v>16662</v>
      </c>
      <c r="M731">
        <v>12117</v>
      </c>
    </row>
    <row r="732" spans="3:13" x14ac:dyDescent="0.25">
      <c r="C732" s="3">
        <v>727</v>
      </c>
      <c r="D732" s="1">
        <v>29</v>
      </c>
      <c r="E732" s="1" t="s">
        <v>0</v>
      </c>
      <c r="F732" s="1" t="s">
        <v>1</v>
      </c>
      <c r="G732" s="1" t="s">
        <v>7</v>
      </c>
      <c r="H732" s="1">
        <v>7.25</v>
      </c>
      <c r="I732" s="1">
        <v>1</v>
      </c>
      <c r="J732" s="13">
        <v>41644</v>
      </c>
      <c r="M732">
        <v>19084</v>
      </c>
    </row>
    <row r="733" spans="3:13" x14ac:dyDescent="0.25">
      <c r="C733" s="3">
        <v>728</v>
      </c>
      <c r="D733" s="1">
        <v>18</v>
      </c>
      <c r="E733" s="1" t="s">
        <v>0</v>
      </c>
      <c r="F733" s="1" t="s">
        <v>4</v>
      </c>
      <c r="G733" s="1" t="s">
        <v>7</v>
      </c>
      <c r="H733" s="1">
        <v>13.43</v>
      </c>
      <c r="I733" s="1">
        <v>0</v>
      </c>
      <c r="J733" s="13">
        <v>5544</v>
      </c>
      <c r="M733">
        <v>37925</v>
      </c>
    </row>
    <row r="734" spans="3:13" x14ac:dyDescent="0.25">
      <c r="C734" s="3">
        <v>729</v>
      </c>
      <c r="D734" s="1">
        <v>41</v>
      </c>
      <c r="E734" s="1" t="s">
        <v>0</v>
      </c>
      <c r="F734" s="1" t="s">
        <v>4</v>
      </c>
      <c r="G734" s="1" t="s">
        <v>5</v>
      </c>
      <c r="H734" s="1">
        <v>12.03</v>
      </c>
      <c r="I734" s="1">
        <v>1</v>
      </c>
      <c r="J734" s="13">
        <v>16953</v>
      </c>
      <c r="M734">
        <v>6598</v>
      </c>
    </row>
    <row r="735" spans="3:13" x14ac:dyDescent="0.25">
      <c r="C735" s="3">
        <v>730</v>
      </c>
      <c r="D735" s="1">
        <v>35</v>
      </c>
      <c r="E735" s="1" t="s">
        <v>3</v>
      </c>
      <c r="F735" s="1" t="s">
        <v>1</v>
      </c>
      <c r="G735" s="1" t="s">
        <v>5</v>
      </c>
      <c r="H735" s="1">
        <v>8.14</v>
      </c>
      <c r="I735" s="1">
        <v>3</v>
      </c>
      <c r="J735" s="13">
        <v>48405</v>
      </c>
      <c r="M735">
        <v>35957</v>
      </c>
    </row>
    <row r="736" spans="3:13" x14ac:dyDescent="0.25">
      <c r="C736" s="3">
        <v>731</v>
      </c>
      <c r="D736" s="1">
        <v>53</v>
      </c>
      <c r="E736" s="1" t="s">
        <v>3</v>
      </c>
      <c r="F736" s="1" t="s">
        <v>4</v>
      </c>
      <c r="G736" s="1" t="s">
        <v>2</v>
      </c>
      <c r="H736" s="1">
        <v>7.13</v>
      </c>
      <c r="I736" s="1">
        <v>1</v>
      </c>
      <c r="J736" s="13">
        <v>25164</v>
      </c>
      <c r="M736">
        <v>19067</v>
      </c>
    </row>
    <row r="737" spans="3:13" x14ac:dyDescent="0.25">
      <c r="C737" s="3">
        <v>732</v>
      </c>
      <c r="D737" s="1">
        <v>24</v>
      </c>
      <c r="E737" s="1" t="s">
        <v>0</v>
      </c>
      <c r="F737" s="1" t="s">
        <v>4</v>
      </c>
      <c r="G737" s="1" t="s">
        <v>2</v>
      </c>
      <c r="H737" s="1">
        <v>10.029999999999999</v>
      </c>
      <c r="I737" s="1">
        <v>3</v>
      </c>
      <c r="J737" s="13">
        <v>10587</v>
      </c>
      <c r="M737">
        <v>13144</v>
      </c>
    </row>
    <row r="738" spans="3:13" x14ac:dyDescent="0.25">
      <c r="C738" s="3">
        <v>733</v>
      </c>
      <c r="D738" s="1">
        <v>48</v>
      </c>
      <c r="E738" s="1" t="s">
        <v>0</v>
      </c>
      <c r="F738" s="1" t="s">
        <v>4</v>
      </c>
      <c r="G738" s="1" t="s">
        <v>7</v>
      </c>
      <c r="H738" s="1">
        <v>9.09</v>
      </c>
      <c r="I738" s="1">
        <v>1</v>
      </c>
      <c r="J738" s="13">
        <v>23618</v>
      </c>
      <c r="M738">
        <v>6183</v>
      </c>
    </row>
    <row r="739" spans="3:13" x14ac:dyDescent="0.25">
      <c r="C739" s="3">
        <v>734</v>
      </c>
      <c r="D739" s="1">
        <v>59</v>
      </c>
      <c r="E739" s="1" t="s">
        <v>0</v>
      </c>
      <c r="F739" s="1" t="s">
        <v>4</v>
      </c>
      <c r="G739" s="1" t="s">
        <v>2</v>
      </c>
      <c r="H739" s="1">
        <v>10.7</v>
      </c>
      <c r="I739" s="1">
        <v>3</v>
      </c>
      <c r="J739" s="13">
        <v>35018</v>
      </c>
      <c r="M739">
        <v>32605</v>
      </c>
    </row>
    <row r="740" spans="3:13" x14ac:dyDescent="0.25">
      <c r="C740" s="3">
        <v>735</v>
      </c>
      <c r="D740" s="1">
        <v>49</v>
      </c>
      <c r="E740" s="1" t="s">
        <v>0</v>
      </c>
      <c r="F740" s="1" t="s">
        <v>4</v>
      </c>
      <c r="G740" s="1" t="s">
        <v>6</v>
      </c>
      <c r="H740" s="1">
        <v>11.59</v>
      </c>
      <c r="I740" s="1">
        <v>1</v>
      </c>
      <c r="J740" s="13">
        <v>23960</v>
      </c>
      <c r="M740">
        <v>13113</v>
      </c>
    </row>
    <row r="741" spans="3:13" x14ac:dyDescent="0.25">
      <c r="C741" s="3">
        <v>736</v>
      </c>
      <c r="D741" s="1">
        <v>37</v>
      </c>
      <c r="E741" s="1" t="s">
        <v>0</v>
      </c>
      <c r="F741" s="1" t="s">
        <v>1</v>
      </c>
      <c r="G741" s="1" t="s">
        <v>5</v>
      </c>
      <c r="H741" s="1">
        <v>12.8</v>
      </c>
      <c r="I741" s="1">
        <v>0</v>
      </c>
      <c r="J741" s="13">
        <v>101048</v>
      </c>
      <c r="M741">
        <v>33628</v>
      </c>
    </row>
    <row r="742" spans="3:13" x14ac:dyDescent="0.25">
      <c r="C742" s="3">
        <v>737</v>
      </c>
      <c r="D742" s="1">
        <v>26</v>
      </c>
      <c r="E742" s="1" t="s">
        <v>3</v>
      </c>
      <c r="F742" s="1" t="s">
        <v>4</v>
      </c>
      <c r="G742" s="1" t="s">
        <v>2</v>
      </c>
      <c r="H742" s="1">
        <v>7.9</v>
      </c>
      <c r="I742" s="1">
        <v>2</v>
      </c>
      <c r="J742" s="13">
        <v>8711</v>
      </c>
      <c r="M742">
        <v>33656</v>
      </c>
    </row>
    <row r="743" spans="3:13" x14ac:dyDescent="0.25">
      <c r="C743" s="3">
        <v>738</v>
      </c>
      <c r="D743" s="1">
        <v>23</v>
      </c>
      <c r="E743" s="1" t="s">
        <v>3</v>
      </c>
      <c r="F743" s="1" t="s">
        <v>1</v>
      </c>
      <c r="G743" s="1" t="s">
        <v>7</v>
      </c>
      <c r="H743" s="1">
        <v>10.58</v>
      </c>
      <c r="I743" s="1">
        <v>3</v>
      </c>
      <c r="J743" s="13">
        <v>90473</v>
      </c>
      <c r="M743">
        <v>13721</v>
      </c>
    </row>
    <row r="744" spans="3:13" x14ac:dyDescent="0.25">
      <c r="C744" s="3">
        <v>739</v>
      </c>
      <c r="D744" s="1">
        <v>29</v>
      </c>
      <c r="E744" s="1" t="s">
        <v>3</v>
      </c>
      <c r="F744" s="1" t="s">
        <v>1</v>
      </c>
      <c r="G744" s="1" t="s">
        <v>2</v>
      </c>
      <c r="H744" s="1">
        <v>11.83</v>
      </c>
      <c r="I744" s="1">
        <v>2</v>
      </c>
      <c r="J744" s="13">
        <v>111464</v>
      </c>
      <c r="M744">
        <v>10801</v>
      </c>
    </row>
    <row r="745" spans="3:13" x14ac:dyDescent="0.25">
      <c r="C745" s="3">
        <v>740</v>
      </c>
      <c r="D745" s="1">
        <v>45</v>
      </c>
      <c r="E745" s="1" t="s">
        <v>3</v>
      </c>
      <c r="F745" s="1" t="s">
        <v>4</v>
      </c>
      <c r="G745" s="1" t="s">
        <v>7</v>
      </c>
      <c r="H745" s="1">
        <v>8.01</v>
      </c>
      <c r="I745" s="1">
        <v>2</v>
      </c>
      <c r="J745" s="13">
        <v>21511</v>
      </c>
      <c r="M745">
        <v>15626</v>
      </c>
    </row>
    <row r="746" spans="3:13" x14ac:dyDescent="0.25">
      <c r="C746" s="3">
        <v>741</v>
      </c>
      <c r="D746" s="1">
        <v>27</v>
      </c>
      <c r="E746" s="1" t="s">
        <v>3</v>
      </c>
      <c r="F746" s="1" t="s">
        <v>1</v>
      </c>
      <c r="G746" s="1" t="s">
        <v>5</v>
      </c>
      <c r="H746" s="1">
        <v>9.7200000000000006</v>
      </c>
      <c r="I746" s="1">
        <v>0</v>
      </c>
      <c r="J746" s="13">
        <v>45616</v>
      </c>
      <c r="M746">
        <v>63333</v>
      </c>
    </row>
    <row r="747" spans="3:13" x14ac:dyDescent="0.25">
      <c r="C747" s="3">
        <v>742</v>
      </c>
      <c r="D747" s="1">
        <v>53</v>
      </c>
      <c r="E747" s="1" t="s">
        <v>3</v>
      </c>
      <c r="F747" s="1" t="s">
        <v>1</v>
      </c>
      <c r="G747" s="1" t="s">
        <v>7</v>
      </c>
      <c r="H747" s="1">
        <v>11.37</v>
      </c>
      <c r="I747" s="1">
        <v>0</v>
      </c>
      <c r="J747" s="13">
        <v>108136</v>
      </c>
      <c r="M747">
        <v>7284</v>
      </c>
    </row>
    <row r="748" spans="3:13" x14ac:dyDescent="0.25">
      <c r="C748" s="3">
        <v>743</v>
      </c>
      <c r="D748" s="1">
        <v>31</v>
      </c>
      <c r="E748" s="1" t="s">
        <v>0</v>
      </c>
      <c r="F748" s="1" t="s">
        <v>4</v>
      </c>
      <c r="G748" s="1" t="s">
        <v>5</v>
      </c>
      <c r="H748" s="1">
        <v>8.8699999999999992</v>
      </c>
      <c r="I748" s="1">
        <v>0</v>
      </c>
      <c r="J748" s="13">
        <v>9395</v>
      </c>
      <c r="M748">
        <v>30081</v>
      </c>
    </row>
    <row r="749" spans="3:13" x14ac:dyDescent="0.25">
      <c r="C749" s="3">
        <v>744</v>
      </c>
      <c r="D749" s="1">
        <v>50</v>
      </c>
      <c r="E749" s="1" t="s">
        <v>3</v>
      </c>
      <c r="F749" s="1" t="s">
        <v>4</v>
      </c>
      <c r="G749" s="1" t="s">
        <v>6</v>
      </c>
      <c r="H749" s="1">
        <v>8.8000000000000007</v>
      </c>
      <c r="I749" s="1">
        <v>0</v>
      </c>
      <c r="J749" s="13">
        <v>22068</v>
      </c>
      <c r="M749">
        <v>33677</v>
      </c>
    </row>
    <row r="750" spans="3:13" x14ac:dyDescent="0.25">
      <c r="C750" s="3">
        <v>745</v>
      </c>
      <c r="D750" s="1">
        <v>50</v>
      </c>
      <c r="E750" s="1" t="s">
        <v>0</v>
      </c>
      <c r="F750" s="1" t="s">
        <v>4</v>
      </c>
      <c r="G750" s="1" t="s">
        <v>6</v>
      </c>
      <c r="H750" s="1">
        <v>10.039999999999999</v>
      </c>
      <c r="I750" s="1">
        <v>1</v>
      </c>
      <c r="J750" s="13">
        <v>24776</v>
      </c>
      <c r="M750">
        <v>15724</v>
      </c>
    </row>
    <row r="751" spans="3:13" x14ac:dyDescent="0.25">
      <c r="C751" s="3">
        <v>746</v>
      </c>
      <c r="D751" s="1">
        <v>34</v>
      </c>
      <c r="E751" s="1" t="s">
        <v>3</v>
      </c>
      <c r="F751" s="1" t="s">
        <v>4</v>
      </c>
      <c r="G751" s="1" t="s">
        <v>2</v>
      </c>
      <c r="H751" s="1">
        <v>9</v>
      </c>
      <c r="I751" s="1">
        <v>2</v>
      </c>
      <c r="J751" s="13">
        <v>29345</v>
      </c>
      <c r="M751">
        <v>7318</v>
      </c>
    </row>
    <row r="752" spans="3:13" x14ac:dyDescent="0.25">
      <c r="C752" s="3">
        <v>747</v>
      </c>
      <c r="D752" s="1">
        <v>19</v>
      </c>
      <c r="E752" s="1" t="s">
        <v>3</v>
      </c>
      <c r="F752" s="1" t="s">
        <v>4</v>
      </c>
      <c r="G752" s="1" t="s">
        <v>6</v>
      </c>
      <c r="H752" s="1">
        <v>7.25</v>
      </c>
      <c r="I752" s="1">
        <v>0</v>
      </c>
      <c r="J752" s="13">
        <v>4068</v>
      </c>
      <c r="M752">
        <v>15596</v>
      </c>
    </row>
    <row r="753" spans="3:13" x14ac:dyDescent="0.25">
      <c r="C753" s="3">
        <v>748</v>
      </c>
      <c r="D753" s="1">
        <v>47</v>
      </c>
      <c r="E753" s="1" t="s">
        <v>0</v>
      </c>
      <c r="F753" s="1" t="s">
        <v>4</v>
      </c>
      <c r="G753" s="1" t="s">
        <v>2</v>
      </c>
      <c r="H753" s="1">
        <v>12</v>
      </c>
      <c r="I753" s="1">
        <v>1</v>
      </c>
      <c r="J753" s="13">
        <v>21392</v>
      </c>
      <c r="M753">
        <v>25242</v>
      </c>
    </row>
    <row r="754" spans="3:13" x14ac:dyDescent="0.25">
      <c r="C754" s="3">
        <v>749</v>
      </c>
      <c r="D754" s="1">
        <v>28</v>
      </c>
      <c r="E754" s="1" t="s">
        <v>3</v>
      </c>
      <c r="F754" s="1" t="s">
        <v>4</v>
      </c>
      <c r="G754" s="1" t="s">
        <v>6</v>
      </c>
      <c r="H754" s="1">
        <v>10.29</v>
      </c>
      <c r="I754" s="1">
        <v>0</v>
      </c>
      <c r="J754" s="13">
        <v>7656</v>
      </c>
      <c r="M754">
        <v>18370</v>
      </c>
    </row>
    <row r="755" spans="3:13" x14ac:dyDescent="0.25">
      <c r="C755" s="3">
        <v>750</v>
      </c>
      <c r="D755" s="1">
        <v>37</v>
      </c>
      <c r="E755" s="1" t="s">
        <v>0</v>
      </c>
      <c r="F755" s="1" t="s">
        <v>1</v>
      </c>
      <c r="G755" s="1" t="s">
        <v>5</v>
      </c>
      <c r="H755" s="1">
        <v>8.8000000000000007</v>
      </c>
      <c r="I755" s="1">
        <v>0</v>
      </c>
      <c r="J755" s="13">
        <v>48848</v>
      </c>
      <c r="M755">
        <v>11683</v>
      </c>
    </row>
    <row r="756" spans="3:13" x14ac:dyDescent="0.25">
      <c r="C756" s="3">
        <v>751</v>
      </c>
      <c r="D756" s="1">
        <v>21</v>
      </c>
      <c r="E756" s="1" t="s">
        <v>3</v>
      </c>
      <c r="F756" s="1" t="s">
        <v>4</v>
      </c>
      <c r="G756" s="1" t="s">
        <v>6</v>
      </c>
      <c r="H756" s="1">
        <v>9.66</v>
      </c>
      <c r="I756" s="1">
        <v>0</v>
      </c>
      <c r="J756" s="13">
        <v>4766</v>
      </c>
      <c r="M756">
        <v>30585</v>
      </c>
    </row>
    <row r="757" spans="3:13" x14ac:dyDescent="0.25">
      <c r="C757" s="3">
        <v>752</v>
      </c>
      <c r="D757" s="1">
        <v>64</v>
      </c>
      <c r="E757" s="1" t="s">
        <v>3</v>
      </c>
      <c r="F757" s="1" t="s">
        <v>4</v>
      </c>
      <c r="G757" s="1" t="s">
        <v>6</v>
      </c>
      <c r="H757" s="1">
        <v>12.64</v>
      </c>
      <c r="I757" s="1">
        <v>0</v>
      </c>
      <c r="J757" s="13">
        <v>35526</v>
      </c>
      <c r="M757">
        <v>80272</v>
      </c>
    </row>
    <row r="758" spans="3:13" x14ac:dyDescent="0.25">
      <c r="C758" s="3">
        <v>753</v>
      </c>
      <c r="D758" s="1">
        <v>58</v>
      </c>
      <c r="E758" s="1" t="s">
        <v>0</v>
      </c>
      <c r="F758" s="1" t="s">
        <v>4</v>
      </c>
      <c r="G758" s="1" t="s">
        <v>5</v>
      </c>
      <c r="H758" s="1">
        <v>7.59</v>
      </c>
      <c r="I758" s="1">
        <v>0</v>
      </c>
      <c r="J758" s="13">
        <v>29584</v>
      </c>
      <c r="M758">
        <v>22414</v>
      </c>
    </row>
    <row r="759" spans="3:13" x14ac:dyDescent="0.25">
      <c r="C759" s="3">
        <v>754</v>
      </c>
      <c r="D759" s="1">
        <v>24</v>
      </c>
      <c r="E759" s="1" t="s">
        <v>3</v>
      </c>
      <c r="F759" s="1" t="s">
        <v>4</v>
      </c>
      <c r="G759" s="1" t="s">
        <v>7</v>
      </c>
      <c r="H759" s="1">
        <v>11.21</v>
      </c>
      <c r="I759" s="1">
        <v>4</v>
      </c>
      <c r="J759" s="13">
        <v>42821</v>
      </c>
      <c r="M759">
        <v>5760</v>
      </c>
    </row>
    <row r="760" spans="3:13" x14ac:dyDescent="0.25">
      <c r="C760" s="3">
        <v>755</v>
      </c>
      <c r="D760" s="1">
        <v>31</v>
      </c>
      <c r="E760" s="1" t="s">
        <v>3</v>
      </c>
      <c r="F760" s="1" t="s">
        <v>4</v>
      </c>
      <c r="G760" s="1" t="s">
        <v>7</v>
      </c>
      <c r="H760" s="1">
        <v>9.2200000000000006</v>
      </c>
      <c r="I760" s="1">
        <v>2</v>
      </c>
      <c r="J760" s="13">
        <v>12578</v>
      </c>
      <c r="M760">
        <v>23719</v>
      </c>
    </row>
    <row r="761" spans="3:13" x14ac:dyDescent="0.25">
      <c r="C761" s="3">
        <v>756</v>
      </c>
      <c r="D761" s="1">
        <v>39</v>
      </c>
      <c r="E761" s="1" t="s">
        <v>0</v>
      </c>
      <c r="F761" s="1" t="s">
        <v>4</v>
      </c>
      <c r="G761" s="1" t="s">
        <v>7</v>
      </c>
      <c r="H761" s="1">
        <v>7.6</v>
      </c>
      <c r="I761" s="1">
        <v>3</v>
      </c>
      <c r="J761" s="13">
        <v>19965</v>
      </c>
      <c r="M761">
        <v>2805</v>
      </c>
    </row>
    <row r="762" spans="3:13" x14ac:dyDescent="0.25">
      <c r="C762" s="3">
        <v>757</v>
      </c>
      <c r="D762" s="1">
        <v>47</v>
      </c>
      <c r="E762" s="1" t="s">
        <v>0</v>
      </c>
      <c r="F762" s="1" t="s">
        <v>1</v>
      </c>
      <c r="G762" s="1" t="s">
        <v>5</v>
      </c>
      <c r="H762" s="1">
        <v>9.2799999999999994</v>
      </c>
      <c r="I762" s="1">
        <v>0</v>
      </c>
      <c r="J762" s="13">
        <v>57664</v>
      </c>
      <c r="M762">
        <v>23874</v>
      </c>
    </row>
    <row r="763" spans="3:13" x14ac:dyDescent="0.25">
      <c r="C763" s="3">
        <v>758</v>
      </c>
      <c r="D763" s="1">
        <v>30</v>
      </c>
      <c r="E763" s="1" t="s">
        <v>3</v>
      </c>
      <c r="F763" s="1" t="s">
        <v>4</v>
      </c>
      <c r="G763" s="1" t="s">
        <v>7</v>
      </c>
      <c r="H763" s="1">
        <v>12.48</v>
      </c>
      <c r="I763" s="1">
        <v>3</v>
      </c>
      <c r="J763" s="13">
        <v>13572</v>
      </c>
      <c r="M763">
        <v>5544</v>
      </c>
    </row>
    <row r="764" spans="3:13" x14ac:dyDescent="0.25">
      <c r="C764" s="3">
        <v>759</v>
      </c>
      <c r="D764" s="1">
        <v>18</v>
      </c>
      <c r="E764" s="1" t="s">
        <v>3</v>
      </c>
      <c r="F764" s="1" t="s">
        <v>1</v>
      </c>
      <c r="G764" s="1" t="s">
        <v>5</v>
      </c>
      <c r="H764" s="1">
        <v>12.72</v>
      </c>
      <c r="I764" s="1">
        <v>0</v>
      </c>
      <c r="J764" s="13">
        <v>90769</v>
      </c>
      <c r="M764">
        <v>4071</v>
      </c>
    </row>
    <row r="765" spans="3:13" x14ac:dyDescent="0.25">
      <c r="C765" s="3">
        <v>760</v>
      </c>
      <c r="D765" s="1">
        <v>22</v>
      </c>
      <c r="E765" s="1" t="s">
        <v>0</v>
      </c>
      <c r="F765" s="1" t="s">
        <v>4</v>
      </c>
      <c r="G765" s="1" t="s">
        <v>7</v>
      </c>
      <c r="H765" s="1">
        <v>11.53</v>
      </c>
      <c r="I765" s="1">
        <v>2</v>
      </c>
      <c r="J765" s="13">
        <v>9814</v>
      </c>
      <c r="M765">
        <v>32457</v>
      </c>
    </row>
    <row r="766" spans="3:13" x14ac:dyDescent="0.25">
      <c r="C766" s="3">
        <v>761</v>
      </c>
      <c r="D766" s="1">
        <v>23</v>
      </c>
      <c r="E766" s="1" t="s">
        <v>3</v>
      </c>
      <c r="F766" s="1" t="s">
        <v>4</v>
      </c>
      <c r="G766" s="1" t="s">
        <v>2</v>
      </c>
      <c r="H766" s="1">
        <v>11.73</v>
      </c>
      <c r="I766" s="1">
        <v>1</v>
      </c>
      <c r="J766" s="13">
        <v>6042</v>
      </c>
      <c r="M766">
        <v>29185</v>
      </c>
    </row>
    <row r="767" spans="3:13" x14ac:dyDescent="0.25">
      <c r="C767" s="3">
        <v>762</v>
      </c>
      <c r="D767" s="1">
        <v>33</v>
      </c>
      <c r="E767" s="1" t="s">
        <v>3</v>
      </c>
      <c r="F767" s="1" t="s">
        <v>1</v>
      </c>
      <c r="G767" s="1" t="s">
        <v>2</v>
      </c>
      <c r="H767" s="1">
        <v>9.0299999999999994</v>
      </c>
      <c r="I767" s="1">
        <v>1</v>
      </c>
      <c r="J767" s="13">
        <v>47602</v>
      </c>
      <c r="M767">
        <v>17900</v>
      </c>
    </row>
    <row r="768" spans="3:13" x14ac:dyDescent="0.25">
      <c r="C768" s="3">
        <v>763</v>
      </c>
      <c r="D768" s="1">
        <v>27</v>
      </c>
      <c r="E768" s="1" t="s">
        <v>3</v>
      </c>
      <c r="F768" s="1" t="s">
        <v>4</v>
      </c>
      <c r="G768" s="1" t="s">
        <v>7</v>
      </c>
      <c r="H768" s="1">
        <v>8.68</v>
      </c>
      <c r="I768" s="1">
        <v>0</v>
      </c>
      <c r="J768" s="13">
        <v>7677</v>
      </c>
      <c r="M768">
        <v>15897</v>
      </c>
    </row>
    <row r="769" spans="3:13" x14ac:dyDescent="0.25">
      <c r="C769" s="3">
        <v>764</v>
      </c>
      <c r="D769" s="1">
        <v>45</v>
      </c>
      <c r="E769" s="1" t="s">
        <v>0</v>
      </c>
      <c r="F769" s="1" t="s">
        <v>4</v>
      </c>
      <c r="G769" s="1" t="s">
        <v>7</v>
      </c>
      <c r="H769" s="1">
        <v>8.39</v>
      </c>
      <c r="I769" s="1">
        <v>2</v>
      </c>
      <c r="J769" s="13">
        <v>22738</v>
      </c>
      <c r="M769">
        <v>28837</v>
      </c>
    </row>
    <row r="770" spans="3:13" x14ac:dyDescent="0.25">
      <c r="C770" s="3">
        <v>765</v>
      </c>
      <c r="D770" s="1">
        <v>57</v>
      </c>
      <c r="E770" s="1" t="s">
        <v>0</v>
      </c>
      <c r="F770" s="1" t="s">
        <v>4</v>
      </c>
      <c r="G770" s="1" t="s">
        <v>6</v>
      </c>
      <c r="H770" s="1">
        <v>10.61</v>
      </c>
      <c r="I770" s="1">
        <v>0</v>
      </c>
      <c r="J770" s="13">
        <v>29607</v>
      </c>
      <c r="M770">
        <v>11318</v>
      </c>
    </row>
    <row r="771" spans="3:13" x14ac:dyDescent="0.25">
      <c r="C771" s="3">
        <v>766</v>
      </c>
      <c r="D771" s="1">
        <v>47</v>
      </c>
      <c r="E771" s="1" t="s">
        <v>3</v>
      </c>
      <c r="F771" s="1" t="s">
        <v>4</v>
      </c>
      <c r="G771" s="1" t="s">
        <v>2</v>
      </c>
      <c r="H771" s="1">
        <v>10.77</v>
      </c>
      <c r="I771" s="1">
        <v>1</v>
      </c>
      <c r="J771" s="13">
        <v>20157</v>
      </c>
      <c r="M771">
        <v>9689</v>
      </c>
    </row>
    <row r="772" spans="3:13" x14ac:dyDescent="0.25">
      <c r="C772" s="3">
        <v>767</v>
      </c>
      <c r="D772" s="1">
        <v>42</v>
      </c>
      <c r="E772" s="1" t="s">
        <v>0</v>
      </c>
      <c r="F772" s="1" t="s">
        <v>4</v>
      </c>
      <c r="G772" s="1" t="s">
        <v>2</v>
      </c>
      <c r="H772" s="1">
        <v>9.67</v>
      </c>
      <c r="I772" s="1">
        <v>1</v>
      </c>
      <c r="J772" s="13">
        <v>17627</v>
      </c>
      <c r="M772">
        <v>31525</v>
      </c>
    </row>
    <row r="773" spans="3:13" x14ac:dyDescent="0.25">
      <c r="C773" s="3">
        <v>768</v>
      </c>
      <c r="D773" s="1">
        <v>64</v>
      </c>
      <c r="E773" s="1" t="s">
        <v>0</v>
      </c>
      <c r="F773" s="1" t="s">
        <v>4</v>
      </c>
      <c r="G773" s="1" t="s">
        <v>2</v>
      </c>
      <c r="H773" s="1">
        <v>13.23</v>
      </c>
      <c r="I773" s="1">
        <v>0</v>
      </c>
      <c r="J773" s="13">
        <v>35798</v>
      </c>
      <c r="M773">
        <v>71172</v>
      </c>
    </row>
    <row r="774" spans="3:13" x14ac:dyDescent="0.25">
      <c r="C774" s="3">
        <v>769</v>
      </c>
      <c r="D774" s="1">
        <v>38</v>
      </c>
      <c r="E774" s="1" t="s">
        <v>0</v>
      </c>
      <c r="F774" s="1" t="s">
        <v>4</v>
      </c>
      <c r="G774" s="1" t="s">
        <v>6</v>
      </c>
      <c r="H774" s="1">
        <v>6.49</v>
      </c>
      <c r="I774" s="1">
        <v>2</v>
      </c>
      <c r="J774" s="13">
        <v>17333</v>
      </c>
      <c r="M774">
        <v>6825</v>
      </c>
    </row>
    <row r="775" spans="3:13" x14ac:dyDescent="0.25">
      <c r="C775" s="3">
        <v>770</v>
      </c>
      <c r="D775" s="1">
        <v>61</v>
      </c>
      <c r="E775" s="1" t="s">
        <v>3</v>
      </c>
      <c r="F775" s="1" t="s">
        <v>4</v>
      </c>
      <c r="G775" s="1" t="s">
        <v>2</v>
      </c>
      <c r="H775" s="1">
        <v>12.03</v>
      </c>
      <c r="I775" s="1">
        <v>3</v>
      </c>
      <c r="J775" s="13">
        <v>69853</v>
      </c>
      <c r="M775">
        <v>8383</v>
      </c>
    </row>
    <row r="776" spans="3:13" x14ac:dyDescent="0.25">
      <c r="C776" s="3">
        <v>771</v>
      </c>
      <c r="D776" s="1">
        <v>53</v>
      </c>
      <c r="E776" s="1" t="s">
        <v>0</v>
      </c>
      <c r="F776" s="1" t="s">
        <v>4</v>
      </c>
      <c r="G776" s="1" t="s">
        <v>2</v>
      </c>
      <c r="H776" s="1">
        <v>8.9</v>
      </c>
      <c r="I776" s="1">
        <v>2</v>
      </c>
      <c r="J776" s="13">
        <v>27877</v>
      </c>
      <c r="M776">
        <v>36187</v>
      </c>
    </row>
    <row r="777" spans="3:13" x14ac:dyDescent="0.25">
      <c r="C777" s="3">
        <v>772</v>
      </c>
      <c r="D777" s="1">
        <v>44</v>
      </c>
      <c r="E777" s="1" t="s">
        <v>0</v>
      </c>
      <c r="F777" s="1" t="s">
        <v>4</v>
      </c>
      <c r="G777" s="1" t="s">
        <v>7</v>
      </c>
      <c r="H777" s="1">
        <v>12.16</v>
      </c>
      <c r="I777" s="1">
        <v>0</v>
      </c>
      <c r="J777" s="13">
        <v>31993</v>
      </c>
      <c r="M777">
        <v>23751</v>
      </c>
    </row>
    <row r="778" spans="3:13" x14ac:dyDescent="0.25">
      <c r="C778" s="3">
        <v>773</v>
      </c>
      <c r="D778" s="1">
        <v>19</v>
      </c>
      <c r="E778" s="1" t="s">
        <v>0</v>
      </c>
      <c r="F778" s="1" t="s">
        <v>1</v>
      </c>
      <c r="G778" s="1" t="s">
        <v>6</v>
      </c>
      <c r="H778" s="1">
        <v>9.6300000000000008</v>
      </c>
      <c r="I778" s="1">
        <v>0</v>
      </c>
      <c r="J778" s="13">
        <v>44371</v>
      </c>
      <c r="M778">
        <v>66168</v>
      </c>
    </row>
    <row r="779" spans="3:13" x14ac:dyDescent="0.25">
      <c r="C779" s="3">
        <v>774</v>
      </c>
      <c r="D779" s="1">
        <v>41</v>
      </c>
      <c r="E779" s="1" t="s">
        <v>3</v>
      </c>
      <c r="F779" s="1" t="s">
        <v>4</v>
      </c>
      <c r="G779" s="1" t="s">
        <v>6</v>
      </c>
      <c r="H779" s="1">
        <v>11.4</v>
      </c>
      <c r="I779" s="1">
        <v>2</v>
      </c>
      <c r="J779" s="13">
        <v>18154</v>
      </c>
      <c r="M779">
        <v>11866</v>
      </c>
    </row>
    <row r="780" spans="3:13" x14ac:dyDescent="0.25">
      <c r="C780" s="3">
        <v>775</v>
      </c>
      <c r="D780" s="1">
        <v>51</v>
      </c>
      <c r="E780" s="1" t="s">
        <v>3</v>
      </c>
      <c r="F780" s="1" t="s">
        <v>4</v>
      </c>
      <c r="G780" s="1" t="s">
        <v>5</v>
      </c>
      <c r="H780" s="1">
        <v>11.11</v>
      </c>
      <c r="I780" s="1">
        <v>3</v>
      </c>
      <c r="J780" s="13">
        <v>26401</v>
      </c>
      <c r="M780">
        <v>18795</v>
      </c>
    </row>
    <row r="781" spans="3:13" x14ac:dyDescent="0.25">
      <c r="C781" s="3">
        <v>776</v>
      </c>
      <c r="D781" s="1">
        <v>40</v>
      </c>
      <c r="E781" s="1" t="s">
        <v>3</v>
      </c>
      <c r="F781" s="1" t="s">
        <v>4</v>
      </c>
      <c r="G781" s="1" t="s">
        <v>6</v>
      </c>
      <c r="H781" s="1">
        <v>10.77</v>
      </c>
      <c r="I781" s="1">
        <v>2</v>
      </c>
      <c r="J781" s="13">
        <v>17467</v>
      </c>
      <c r="M781">
        <v>8200</v>
      </c>
    </row>
    <row r="782" spans="3:13" x14ac:dyDescent="0.25">
      <c r="C782" s="3">
        <v>777</v>
      </c>
      <c r="D782" s="1">
        <v>45</v>
      </c>
      <c r="E782" s="1" t="s">
        <v>3</v>
      </c>
      <c r="F782" s="1" t="s">
        <v>4</v>
      </c>
      <c r="G782" s="1" t="s">
        <v>7</v>
      </c>
      <c r="H782" s="1">
        <v>13.27</v>
      </c>
      <c r="I782" s="1">
        <v>0</v>
      </c>
      <c r="J782" s="13">
        <v>18621</v>
      </c>
      <c r="M782">
        <v>21492</v>
      </c>
    </row>
    <row r="783" spans="3:13" x14ac:dyDescent="0.25">
      <c r="C783" s="3">
        <v>778</v>
      </c>
      <c r="D783" s="1">
        <v>35</v>
      </c>
      <c r="E783" s="1" t="s">
        <v>3</v>
      </c>
      <c r="F783" s="1" t="s">
        <v>4</v>
      </c>
      <c r="G783" s="1" t="s">
        <v>5</v>
      </c>
      <c r="H783" s="1">
        <v>11.44</v>
      </c>
      <c r="I783" s="1">
        <v>3</v>
      </c>
      <c r="J783" s="13">
        <v>14836</v>
      </c>
      <c r="M783">
        <v>26757</v>
      </c>
    </row>
    <row r="784" spans="3:13" x14ac:dyDescent="0.25">
      <c r="C784" s="3">
        <v>779</v>
      </c>
      <c r="D784" s="1">
        <v>53</v>
      </c>
      <c r="E784" s="1" t="s">
        <v>3</v>
      </c>
      <c r="F784" s="1" t="s">
        <v>4</v>
      </c>
      <c r="G784" s="1" t="s">
        <v>6</v>
      </c>
      <c r="H784" s="1">
        <v>9.6300000000000008</v>
      </c>
      <c r="I784" s="1">
        <v>0</v>
      </c>
      <c r="J784" s="13">
        <v>24675</v>
      </c>
      <c r="M784">
        <v>12481</v>
      </c>
    </row>
    <row r="785" spans="3:13" x14ac:dyDescent="0.25">
      <c r="C785" s="3">
        <v>780</v>
      </c>
      <c r="D785" s="1">
        <v>30</v>
      </c>
      <c r="E785" s="1" t="s">
        <v>3</v>
      </c>
      <c r="F785" s="1" t="s">
        <v>1</v>
      </c>
      <c r="G785" s="1" t="s">
        <v>2</v>
      </c>
      <c r="H785" s="1">
        <v>8.1300000000000008</v>
      </c>
      <c r="I785" s="1">
        <v>3</v>
      </c>
      <c r="J785" s="13">
        <v>45648</v>
      </c>
      <c r="M785">
        <v>6320</v>
      </c>
    </row>
    <row r="786" spans="3:13" x14ac:dyDescent="0.25">
      <c r="C786" s="3">
        <v>781</v>
      </c>
      <c r="D786" s="1">
        <v>18</v>
      </c>
      <c r="E786" s="1" t="s">
        <v>3</v>
      </c>
      <c r="F786" s="1" t="s">
        <v>4</v>
      </c>
      <c r="G786" s="1" t="s">
        <v>5</v>
      </c>
      <c r="H786" s="1">
        <v>13.71</v>
      </c>
      <c r="I786" s="1">
        <v>0</v>
      </c>
      <c r="J786" s="13">
        <v>2867</v>
      </c>
      <c r="M786">
        <v>4398</v>
      </c>
    </row>
    <row r="787" spans="3:13" x14ac:dyDescent="0.25">
      <c r="C787" s="3">
        <v>782</v>
      </c>
      <c r="D787" s="1">
        <v>51</v>
      </c>
      <c r="E787" s="1" t="s">
        <v>3</v>
      </c>
      <c r="F787" s="1" t="s">
        <v>4</v>
      </c>
      <c r="G787" s="1" t="s">
        <v>5</v>
      </c>
      <c r="H787" s="1">
        <v>11.99</v>
      </c>
      <c r="I787" s="1">
        <v>1</v>
      </c>
      <c r="J787" s="13">
        <v>23465</v>
      </c>
      <c r="M787">
        <v>5807</v>
      </c>
    </row>
    <row r="788" spans="3:13" x14ac:dyDescent="0.25">
      <c r="C788" s="3">
        <v>783</v>
      </c>
      <c r="D788" s="1">
        <v>50</v>
      </c>
      <c r="E788" s="1" t="s">
        <v>0</v>
      </c>
      <c r="F788" s="1" t="s">
        <v>1</v>
      </c>
      <c r="G788" s="1" t="s">
        <v>2</v>
      </c>
      <c r="H788" s="1">
        <v>9.1999999999999993</v>
      </c>
      <c r="I788" s="1">
        <v>1</v>
      </c>
      <c r="J788" s="13">
        <v>61301</v>
      </c>
      <c r="M788">
        <v>19510</v>
      </c>
    </row>
    <row r="789" spans="3:13" x14ac:dyDescent="0.25">
      <c r="C789" s="3">
        <v>784</v>
      </c>
      <c r="D789" s="1">
        <v>31</v>
      </c>
      <c r="E789" s="1" t="s">
        <v>0</v>
      </c>
      <c r="F789" s="1" t="s">
        <v>4</v>
      </c>
      <c r="G789" s="1" t="s">
        <v>5</v>
      </c>
      <c r="H789" s="1">
        <v>9.75</v>
      </c>
      <c r="I789" s="1">
        <v>1</v>
      </c>
      <c r="J789" s="13">
        <v>10876</v>
      </c>
      <c r="M789">
        <v>7257</v>
      </c>
    </row>
    <row r="790" spans="3:13" x14ac:dyDescent="0.25">
      <c r="C790" s="3">
        <v>785</v>
      </c>
      <c r="D790" s="1">
        <v>35</v>
      </c>
      <c r="E790" s="1" t="s">
        <v>0</v>
      </c>
      <c r="F790" s="1" t="s">
        <v>4</v>
      </c>
      <c r="G790" s="1" t="s">
        <v>2</v>
      </c>
      <c r="H790" s="1">
        <v>9.23</v>
      </c>
      <c r="I790" s="1">
        <v>3</v>
      </c>
      <c r="J790" s="13">
        <v>16035</v>
      </c>
      <c r="M790">
        <v>24262</v>
      </c>
    </row>
    <row r="791" spans="3:13" x14ac:dyDescent="0.25">
      <c r="C791" s="3">
        <v>786</v>
      </c>
      <c r="D791" s="1">
        <v>60</v>
      </c>
      <c r="E791" s="1" t="s">
        <v>3</v>
      </c>
      <c r="F791" s="1" t="s">
        <v>4</v>
      </c>
      <c r="G791" s="1" t="s">
        <v>7</v>
      </c>
      <c r="H791" s="1">
        <v>12.32</v>
      </c>
      <c r="I791" s="1">
        <v>0</v>
      </c>
      <c r="J791" s="13">
        <v>31853</v>
      </c>
      <c r="M791">
        <v>12223</v>
      </c>
    </row>
    <row r="792" spans="3:13" x14ac:dyDescent="0.25">
      <c r="C792" s="3">
        <v>787</v>
      </c>
      <c r="D792" s="1">
        <v>21</v>
      </c>
      <c r="E792" s="1" t="s">
        <v>3</v>
      </c>
      <c r="F792" s="1" t="s">
        <v>4</v>
      </c>
      <c r="G792" s="1" t="s">
        <v>6</v>
      </c>
      <c r="H792" s="1">
        <v>12.29</v>
      </c>
      <c r="I792" s="1">
        <v>0</v>
      </c>
      <c r="J792" s="13">
        <v>4793</v>
      </c>
      <c r="M792">
        <v>63793</v>
      </c>
    </row>
    <row r="793" spans="3:13" x14ac:dyDescent="0.25">
      <c r="C793" s="3">
        <v>788</v>
      </c>
      <c r="D793" s="1">
        <v>29</v>
      </c>
      <c r="E793" s="1" t="s">
        <v>3</v>
      </c>
      <c r="F793" s="1" t="s">
        <v>4</v>
      </c>
      <c r="G793" s="1" t="s">
        <v>7</v>
      </c>
      <c r="H793" s="1">
        <v>7.5</v>
      </c>
      <c r="I793" s="1">
        <v>3</v>
      </c>
      <c r="J793" s="13">
        <v>13024</v>
      </c>
      <c r="M793">
        <v>11251</v>
      </c>
    </row>
    <row r="794" spans="3:13" x14ac:dyDescent="0.25">
      <c r="C794" s="3">
        <v>789</v>
      </c>
      <c r="D794" s="1">
        <v>62</v>
      </c>
      <c r="E794" s="1" t="s">
        <v>0</v>
      </c>
      <c r="F794" s="1" t="s">
        <v>4</v>
      </c>
      <c r="G794" s="1" t="s">
        <v>5</v>
      </c>
      <c r="H794" s="1">
        <v>9.9700000000000006</v>
      </c>
      <c r="I794" s="1">
        <v>0</v>
      </c>
      <c r="J794" s="13">
        <v>33645</v>
      </c>
      <c r="M794">
        <v>41991</v>
      </c>
    </row>
    <row r="795" spans="3:13" x14ac:dyDescent="0.25">
      <c r="C795" s="3">
        <v>790</v>
      </c>
      <c r="D795" s="1">
        <v>39</v>
      </c>
      <c r="E795" s="1" t="s">
        <v>0</v>
      </c>
      <c r="F795" s="1" t="s">
        <v>4</v>
      </c>
      <c r="G795" s="1" t="s">
        <v>5</v>
      </c>
      <c r="H795" s="1">
        <v>13.93</v>
      </c>
      <c r="I795" s="1">
        <v>0</v>
      </c>
      <c r="J795" s="13">
        <v>14156</v>
      </c>
      <c r="M795">
        <v>12288</v>
      </c>
    </row>
    <row r="796" spans="3:13" x14ac:dyDescent="0.25">
      <c r="C796" s="3">
        <v>791</v>
      </c>
      <c r="D796" s="1">
        <v>19</v>
      </c>
      <c r="E796" s="1" t="s">
        <v>3</v>
      </c>
      <c r="F796" s="1" t="s">
        <v>4</v>
      </c>
      <c r="G796" s="1" t="s">
        <v>2</v>
      </c>
      <c r="H796" s="1">
        <v>9.1999999999999993</v>
      </c>
      <c r="I796" s="1">
        <v>0</v>
      </c>
      <c r="J796" s="13">
        <v>3131</v>
      </c>
      <c r="M796">
        <v>19062</v>
      </c>
    </row>
    <row r="797" spans="3:13" x14ac:dyDescent="0.25">
      <c r="C797" s="3">
        <v>792</v>
      </c>
      <c r="D797" s="1">
        <v>22</v>
      </c>
      <c r="E797" s="1" t="s">
        <v>0</v>
      </c>
      <c r="F797" s="1" t="s">
        <v>4</v>
      </c>
      <c r="G797" s="1" t="s">
        <v>7</v>
      </c>
      <c r="H797" s="1">
        <v>7.73</v>
      </c>
      <c r="I797" s="1">
        <v>0</v>
      </c>
      <c r="J797" s="13">
        <v>6830</v>
      </c>
      <c r="M797">
        <v>21025</v>
      </c>
    </row>
    <row r="798" spans="3:13" x14ac:dyDescent="0.25">
      <c r="C798" s="3">
        <v>793</v>
      </c>
      <c r="D798" s="1">
        <v>53</v>
      </c>
      <c r="E798" s="1" t="s">
        <v>3</v>
      </c>
      <c r="F798" s="1" t="s">
        <v>1</v>
      </c>
      <c r="G798" s="1" t="s">
        <v>5</v>
      </c>
      <c r="H798" s="1">
        <v>6.97</v>
      </c>
      <c r="I798" s="1">
        <v>0</v>
      </c>
      <c r="J798" s="13">
        <v>52990</v>
      </c>
      <c r="M798">
        <v>70850</v>
      </c>
    </row>
    <row r="799" spans="3:13" x14ac:dyDescent="0.25">
      <c r="C799" s="3">
        <v>794</v>
      </c>
      <c r="D799" s="1">
        <v>39</v>
      </c>
      <c r="E799" s="1" t="s">
        <v>0</v>
      </c>
      <c r="F799" s="1" t="s">
        <v>4</v>
      </c>
      <c r="G799" s="1" t="s">
        <v>6</v>
      </c>
      <c r="H799" s="1">
        <v>10.64</v>
      </c>
      <c r="I799" s="1">
        <v>2</v>
      </c>
      <c r="J799" s="13">
        <v>18024</v>
      </c>
      <c r="M799">
        <v>11297</v>
      </c>
    </row>
    <row r="800" spans="3:13" x14ac:dyDescent="0.25">
      <c r="C800" s="3">
        <v>795</v>
      </c>
      <c r="D800" s="1">
        <v>27</v>
      </c>
      <c r="E800" s="1" t="s">
        <v>3</v>
      </c>
      <c r="F800" s="1" t="s">
        <v>1</v>
      </c>
      <c r="G800" s="1" t="s">
        <v>6</v>
      </c>
      <c r="H800" s="1">
        <v>9.5</v>
      </c>
      <c r="I800" s="1">
        <v>0</v>
      </c>
      <c r="J800" s="13">
        <v>45777</v>
      </c>
      <c r="M800">
        <v>8447</v>
      </c>
    </row>
    <row r="801" spans="3:13" x14ac:dyDescent="0.25">
      <c r="C801" s="3">
        <v>796</v>
      </c>
      <c r="D801" s="1">
        <v>30</v>
      </c>
      <c r="E801" s="1" t="s">
        <v>3</v>
      </c>
      <c r="F801" s="1" t="s">
        <v>4</v>
      </c>
      <c r="G801" s="1" t="s">
        <v>5</v>
      </c>
      <c r="H801" s="1">
        <v>14.74</v>
      </c>
      <c r="I801" s="1">
        <v>2</v>
      </c>
      <c r="J801" s="13">
        <v>10665</v>
      </c>
      <c r="M801">
        <v>17862</v>
      </c>
    </row>
    <row r="802" spans="3:13" x14ac:dyDescent="0.25">
      <c r="C802" s="3">
        <v>797</v>
      </c>
      <c r="D802" s="1">
        <v>30</v>
      </c>
      <c r="E802" s="1" t="s">
        <v>0</v>
      </c>
      <c r="F802" s="1" t="s">
        <v>4</v>
      </c>
      <c r="G802" s="1" t="s">
        <v>7</v>
      </c>
      <c r="H802" s="1">
        <v>7.63</v>
      </c>
      <c r="I802" s="1">
        <v>1</v>
      </c>
      <c r="J802" s="13">
        <v>11799</v>
      </c>
      <c r="M802">
        <v>25296</v>
      </c>
    </row>
    <row r="803" spans="3:13" x14ac:dyDescent="0.25">
      <c r="C803" s="3">
        <v>798</v>
      </c>
      <c r="D803" s="1">
        <v>58</v>
      </c>
      <c r="E803" s="1" t="s">
        <v>0</v>
      </c>
      <c r="F803" s="1" t="s">
        <v>4</v>
      </c>
      <c r="G803" s="1" t="s">
        <v>2</v>
      </c>
      <c r="H803" s="1">
        <v>11.03</v>
      </c>
      <c r="I803" s="1">
        <v>0</v>
      </c>
      <c r="J803" s="13">
        <v>29620</v>
      </c>
      <c r="M803">
        <v>13711</v>
      </c>
    </row>
    <row r="804" spans="3:13" x14ac:dyDescent="0.25">
      <c r="C804" s="3">
        <v>799</v>
      </c>
      <c r="D804" s="1">
        <v>33</v>
      </c>
      <c r="E804" s="1" t="s">
        <v>3</v>
      </c>
      <c r="F804" s="1" t="s">
        <v>1</v>
      </c>
      <c r="G804" s="1" t="s">
        <v>7</v>
      </c>
      <c r="H804" s="1">
        <v>8.26</v>
      </c>
      <c r="I804" s="1">
        <v>0</v>
      </c>
      <c r="J804" s="13">
        <v>44761</v>
      </c>
      <c r="M804">
        <v>19966</v>
      </c>
    </row>
    <row r="805" spans="3:13" x14ac:dyDescent="0.25">
      <c r="C805" s="3">
        <v>800</v>
      </c>
      <c r="D805" s="1">
        <v>42</v>
      </c>
      <c r="E805" s="1" t="s">
        <v>0</v>
      </c>
      <c r="F805" s="1" t="s">
        <v>4</v>
      </c>
      <c r="G805" s="1" t="s">
        <v>5</v>
      </c>
      <c r="H805" s="1">
        <v>8.73</v>
      </c>
      <c r="I805" s="1">
        <v>1</v>
      </c>
      <c r="J805" s="13">
        <v>17617</v>
      </c>
      <c r="M805">
        <v>18546</v>
      </c>
    </row>
    <row r="806" spans="3:13" x14ac:dyDescent="0.25">
      <c r="C806" s="3">
        <v>801</v>
      </c>
      <c r="D806" s="1">
        <v>64</v>
      </c>
      <c r="E806" s="1" t="s">
        <v>0</v>
      </c>
      <c r="F806" s="1" t="s">
        <v>4</v>
      </c>
      <c r="G806" s="1" t="s">
        <v>5</v>
      </c>
      <c r="H806" s="1">
        <v>11.99</v>
      </c>
      <c r="I806" s="1">
        <v>0</v>
      </c>
      <c r="J806" s="13">
        <v>35785</v>
      </c>
      <c r="M806">
        <v>34720</v>
      </c>
    </row>
    <row r="807" spans="3:13" x14ac:dyDescent="0.25">
      <c r="C807" s="3">
        <v>802</v>
      </c>
      <c r="D807" s="1">
        <v>21</v>
      </c>
      <c r="E807" s="1" t="s">
        <v>3</v>
      </c>
      <c r="F807" s="1" t="s">
        <v>4</v>
      </c>
      <c r="G807" s="1" t="s">
        <v>2</v>
      </c>
      <c r="H807" s="1">
        <v>7.43</v>
      </c>
      <c r="I807" s="1">
        <v>1</v>
      </c>
      <c r="J807" s="13">
        <v>5258</v>
      </c>
      <c r="M807">
        <v>16379</v>
      </c>
    </row>
    <row r="808" spans="3:13" x14ac:dyDescent="0.25">
      <c r="C808" s="3">
        <v>803</v>
      </c>
      <c r="D808" s="1">
        <v>18</v>
      </c>
      <c r="E808" s="1" t="s">
        <v>0</v>
      </c>
      <c r="F808" s="1" t="s">
        <v>1</v>
      </c>
      <c r="G808" s="1" t="s">
        <v>5</v>
      </c>
      <c r="H808" s="1">
        <v>14.08</v>
      </c>
      <c r="I808" s="1">
        <v>0</v>
      </c>
      <c r="J808" s="13">
        <v>96982</v>
      </c>
      <c r="M808">
        <v>13170</v>
      </c>
    </row>
    <row r="809" spans="3:13" x14ac:dyDescent="0.25">
      <c r="C809" s="3">
        <v>804</v>
      </c>
      <c r="D809" s="1">
        <v>23</v>
      </c>
      <c r="E809" s="1" t="s">
        <v>3</v>
      </c>
      <c r="F809" s="1" t="s">
        <v>4</v>
      </c>
      <c r="G809" s="1" t="s">
        <v>5</v>
      </c>
      <c r="H809" s="1">
        <v>8.84</v>
      </c>
      <c r="I809" s="1">
        <v>0</v>
      </c>
      <c r="J809" s="13">
        <v>4540</v>
      </c>
      <c r="M809">
        <v>4932</v>
      </c>
    </row>
    <row r="810" spans="3:13" x14ac:dyDescent="0.25">
      <c r="C810" s="3">
        <v>805</v>
      </c>
      <c r="D810" s="1">
        <v>45</v>
      </c>
      <c r="E810" s="1" t="s">
        <v>0</v>
      </c>
      <c r="F810" s="1" t="s">
        <v>4</v>
      </c>
      <c r="G810" s="1" t="s">
        <v>6</v>
      </c>
      <c r="H810" s="1">
        <v>11.94</v>
      </c>
      <c r="I810" s="1">
        <v>0</v>
      </c>
      <c r="J810" s="13">
        <v>19330</v>
      </c>
      <c r="M810">
        <v>53080</v>
      </c>
    </row>
    <row r="811" spans="3:13" x14ac:dyDescent="0.25">
      <c r="C811" s="3">
        <v>806</v>
      </c>
      <c r="D811" s="1">
        <v>40</v>
      </c>
      <c r="E811" s="1" t="s">
        <v>0</v>
      </c>
      <c r="F811" s="1" t="s">
        <v>4</v>
      </c>
      <c r="G811" s="1" t="s">
        <v>6</v>
      </c>
      <c r="H811" s="1">
        <v>13.81</v>
      </c>
      <c r="I811" s="1">
        <v>1</v>
      </c>
      <c r="J811" s="13">
        <v>71192</v>
      </c>
      <c r="M811">
        <v>21569</v>
      </c>
    </row>
    <row r="812" spans="3:13" x14ac:dyDescent="0.25">
      <c r="C812" s="3">
        <v>807</v>
      </c>
      <c r="D812" s="1">
        <v>19</v>
      </c>
      <c r="E812" s="1" t="s">
        <v>0</v>
      </c>
      <c r="F812" s="1" t="s">
        <v>4</v>
      </c>
      <c r="G812" s="1" t="s">
        <v>6</v>
      </c>
      <c r="H812" s="1">
        <v>12.19</v>
      </c>
      <c r="I812" s="1">
        <v>0</v>
      </c>
      <c r="J812" s="13">
        <v>5342</v>
      </c>
      <c r="M812">
        <v>11083</v>
      </c>
    </row>
    <row r="813" spans="3:13" x14ac:dyDescent="0.25">
      <c r="C813" s="3">
        <v>808</v>
      </c>
      <c r="D813" s="1">
        <v>18</v>
      </c>
      <c r="E813" s="1" t="s">
        <v>3</v>
      </c>
      <c r="F813" s="1" t="s">
        <v>4</v>
      </c>
      <c r="G813" s="1" t="s">
        <v>5</v>
      </c>
      <c r="H813" s="1">
        <v>10.050000000000001</v>
      </c>
      <c r="I813" s="1">
        <v>0</v>
      </c>
      <c r="J813" s="13">
        <v>2829</v>
      </c>
      <c r="M813">
        <v>11096</v>
      </c>
    </row>
    <row r="814" spans="3:13" x14ac:dyDescent="0.25">
      <c r="C814" s="3">
        <v>809</v>
      </c>
      <c r="D814" s="1">
        <v>25</v>
      </c>
      <c r="E814" s="1" t="s">
        <v>3</v>
      </c>
      <c r="F814" s="1" t="s">
        <v>4</v>
      </c>
      <c r="G814" s="1" t="s">
        <v>7</v>
      </c>
      <c r="H814" s="1">
        <v>8.61</v>
      </c>
      <c r="I814" s="1">
        <v>1</v>
      </c>
      <c r="J814" s="13">
        <v>8274</v>
      </c>
      <c r="M814">
        <v>58104</v>
      </c>
    </row>
    <row r="815" spans="3:13" x14ac:dyDescent="0.25">
      <c r="C815" s="3">
        <v>810</v>
      </c>
      <c r="D815" s="1">
        <v>46</v>
      </c>
      <c r="E815" s="1" t="s">
        <v>0</v>
      </c>
      <c r="F815" s="1" t="s">
        <v>4</v>
      </c>
      <c r="G815" s="1" t="s">
        <v>2</v>
      </c>
      <c r="H815" s="1">
        <v>10.27</v>
      </c>
      <c r="I815" s="1">
        <v>3</v>
      </c>
      <c r="J815" s="13">
        <v>23537</v>
      </c>
      <c r="M815">
        <v>24894</v>
      </c>
    </row>
    <row r="816" spans="3:13" x14ac:dyDescent="0.25">
      <c r="C816" s="3">
        <v>811</v>
      </c>
      <c r="D816" s="1">
        <v>33</v>
      </c>
      <c r="E816" s="1" t="s">
        <v>0</v>
      </c>
      <c r="F816" s="1" t="s">
        <v>4</v>
      </c>
      <c r="G816" s="1" t="s">
        <v>6</v>
      </c>
      <c r="H816" s="1">
        <v>14.31</v>
      </c>
      <c r="I816" s="1">
        <v>3</v>
      </c>
      <c r="J816" s="13">
        <v>15902</v>
      </c>
      <c r="M816">
        <v>20673</v>
      </c>
    </row>
    <row r="817" spans="3:13" x14ac:dyDescent="0.25">
      <c r="C817" s="3">
        <v>812</v>
      </c>
      <c r="D817" s="1">
        <v>54</v>
      </c>
      <c r="E817" s="1" t="s">
        <v>3</v>
      </c>
      <c r="F817" s="1" t="s">
        <v>4</v>
      </c>
      <c r="G817" s="1" t="s">
        <v>5</v>
      </c>
      <c r="H817" s="1">
        <v>7</v>
      </c>
      <c r="I817" s="1">
        <v>2</v>
      </c>
      <c r="J817" s="13">
        <v>27534</v>
      </c>
      <c r="M817">
        <v>91451</v>
      </c>
    </row>
    <row r="818" spans="3:13" x14ac:dyDescent="0.25">
      <c r="C818" s="3">
        <v>813</v>
      </c>
      <c r="D818" s="1">
        <v>28</v>
      </c>
      <c r="E818" s="1" t="s">
        <v>3</v>
      </c>
      <c r="F818" s="1" t="s">
        <v>4</v>
      </c>
      <c r="G818" s="1" t="s">
        <v>7</v>
      </c>
      <c r="H818" s="1">
        <v>7.5</v>
      </c>
      <c r="I818" s="1">
        <v>2</v>
      </c>
      <c r="J818" s="13">
        <v>11072</v>
      </c>
      <c r="M818">
        <v>21913</v>
      </c>
    </row>
    <row r="819" spans="3:13" x14ac:dyDescent="0.25">
      <c r="C819" s="3">
        <v>814</v>
      </c>
      <c r="D819" s="1">
        <v>36</v>
      </c>
      <c r="E819" s="1" t="s">
        <v>3</v>
      </c>
      <c r="F819" s="1" t="s">
        <v>4</v>
      </c>
      <c r="G819" s="1" t="s">
        <v>5</v>
      </c>
      <c r="H819" s="1">
        <v>11.48</v>
      </c>
      <c r="I819" s="1">
        <v>2</v>
      </c>
      <c r="J819" s="13">
        <v>13961</v>
      </c>
      <c r="M819">
        <v>13459</v>
      </c>
    </row>
    <row r="820" spans="3:13" x14ac:dyDescent="0.25">
      <c r="C820" s="3">
        <v>815</v>
      </c>
      <c r="D820" s="1">
        <v>20</v>
      </c>
      <c r="E820" s="1" t="s">
        <v>0</v>
      </c>
      <c r="F820" s="1" t="s">
        <v>4</v>
      </c>
      <c r="G820" s="1" t="s">
        <v>5</v>
      </c>
      <c r="H820" s="1">
        <v>10.49</v>
      </c>
      <c r="I820" s="1">
        <v>0</v>
      </c>
      <c r="J820" s="13">
        <v>4695</v>
      </c>
      <c r="M820">
        <v>30312</v>
      </c>
    </row>
    <row r="821" spans="3:13" x14ac:dyDescent="0.25">
      <c r="C821" s="3">
        <v>816</v>
      </c>
      <c r="D821" s="1">
        <v>24</v>
      </c>
      <c r="E821" s="1" t="s">
        <v>0</v>
      </c>
      <c r="F821" s="1" t="s">
        <v>4</v>
      </c>
      <c r="G821" s="1" t="s">
        <v>6</v>
      </c>
      <c r="H821" s="1">
        <v>8.08</v>
      </c>
      <c r="I821" s="1">
        <v>0</v>
      </c>
      <c r="J821" s="13">
        <v>7107</v>
      </c>
      <c r="M821">
        <v>6773</v>
      </c>
    </row>
    <row r="822" spans="3:13" x14ac:dyDescent="0.25">
      <c r="C822" s="3">
        <v>817</v>
      </c>
      <c r="D822" s="1">
        <v>23</v>
      </c>
      <c r="E822" s="1" t="s">
        <v>3</v>
      </c>
      <c r="F822" s="1" t="s">
        <v>4</v>
      </c>
      <c r="G822" s="1" t="s">
        <v>2</v>
      </c>
      <c r="H822" s="1">
        <v>12.37</v>
      </c>
      <c r="I822" s="1">
        <v>3</v>
      </c>
      <c r="J822" s="13">
        <v>8994</v>
      </c>
      <c r="M822">
        <v>9970</v>
      </c>
    </row>
    <row r="823" spans="3:13" x14ac:dyDescent="0.25">
      <c r="C823" s="3">
        <v>818</v>
      </c>
      <c r="D823" s="1">
        <v>47</v>
      </c>
      <c r="E823" s="1" t="s">
        <v>0</v>
      </c>
      <c r="F823" s="1" t="s">
        <v>1</v>
      </c>
      <c r="G823" s="1" t="s">
        <v>7</v>
      </c>
      <c r="H823" s="1">
        <v>8.7100000000000009</v>
      </c>
      <c r="I823" s="1">
        <v>1</v>
      </c>
      <c r="J823" s="13">
        <v>58503</v>
      </c>
      <c r="M823">
        <v>31238</v>
      </c>
    </row>
    <row r="824" spans="3:13" x14ac:dyDescent="0.25">
      <c r="C824" s="3">
        <v>819</v>
      </c>
      <c r="D824" s="1">
        <v>33</v>
      </c>
      <c r="E824" s="1" t="s">
        <v>0</v>
      </c>
      <c r="F824" s="1" t="s">
        <v>1</v>
      </c>
      <c r="G824" s="1" t="s">
        <v>6</v>
      </c>
      <c r="H824" s="1">
        <v>11.84</v>
      </c>
      <c r="I824" s="1">
        <v>0</v>
      </c>
      <c r="J824" s="13">
        <v>137839</v>
      </c>
      <c r="M824">
        <v>65047</v>
      </c>
    </row>
    <row r="825" spans="3:13" x14ac:dyDescent="0.25">
      <c r="C825" s="3">
        <v>820</v>
      </c>
      <c r="D825" s="1">
        <v>45</v>
      </c>
      <c r="E825" s="1" t="s">
        <v>3</v>
      </c>
      <c r="F825" s="1" t="s">
        <v>4</v>
      </c>
      <c r="G825" s="1" t="s">
        <v>2</v>
      </c>
      <c r="H825" s="1">
        <v>11.23</v>
      </c>
      <c r="I825" s="1">
        <v>1</v>
      </c>
      <c r="J825" s="13">
        <v>18615</v>
      </c>
      <c r="M825">
        <v>21996</v>
      </c>
    </row>
    <row r="826" spans="3:13" x14ac:dyDescent="0.25">
      <c r="C826" s="3">
        <v>821</v>
      </c>
      <c r="D826" s="1">
        <v>26</v>
      </c>
      <c r="E826" s="1" t="s">
        <v>3</v>
      </c>
      <c r="F826" s="1" t="s">
        <v>4</v>
      </c>
      <c r="G826" s="1" t="s">
        <v>6</v>
      </c>
      <c r="H826" s="1">
        <v>5.89</v>
      </c>
      <c r="I826" s="1">
        <v>0</v>
      </c>
      <c r="J826" s="13">
        <v>6702</v>
      </c>
      <c r="M826">
        <v>4278</v>
      </c>
    </row>
    <row r="827" spans="3:13" x14ac:dyDescent="0.25">
      <c r="C827" s="3">
        <v>822</v>
      </c>
      <c r="D827" s="1">
        <v>18</v>
      </c>
      <c r="E827" s="1" t="s">
        <v>0</v>
      </c>
      <c r="F827" s="1" t="s">
        <v>4</v>
      </c>
      <c r="G827" s="1" t="s">
        <v>5</v>
      </c>
      <c r="H827" s="1">
        <v>10.38</v>
      </c>
      <c r="I827" s="1">
        <v>0</v>
      </c>
      <c r="J827" s="13">
        <v>4055</v>
      </c>
      <c r="M827">
        <v>21425</v>
      </c>
    </row>
    <row r="828" spans="3:13" x14ac:dyDescent="0.25">
      <c r="C828" s="3">
        <v>823</v>
      </c>
      <c r="D828" s="1">
        <v>44</v>
      </c>
      <c r="E828" s="1" t="s">
        <v>0</v>
      </c>
      <c r="F828" s="1" t="s">
        <v>4</v>
      </c>
      <c r="G828" s="1" t="s">
        <v>5</v>
      </c>
      <c r="H828" s="1">
        <v>9.94</v>
      </c>
      <c r="I828" s="1">
        <v>2</v>
      </c>
      <c r="J828" s="13">
        <v>20548</v>
      </c>
      <c r="M828">
        <v>5050</v>
      </c>
    </row>
    <row r="829" spans="3:13" x14ac:dyDescent="0.25">
      <c r="C829" s="3">
        <v>824</v>
      </c>
      <c r="D829" s="1">
        <v>60</v>
      </c>
      <c r="E829" s="1" t="s">
        <v>3</v>
      </c>
      <c r="F829" s="1" t="s">
        <v>4</v>
      </c>
      <c r="G829" s="1" t="s">
        <v>6</v>
      </c>
      <c r="H829" s="1">
        <v>8.11</v>
      </c>
      <c r="I829" s="1">
        <v>0</v>
      </c>
      <c r="J829" s="13">
        <v>31309</v>
      </c>
      <c r="M829">
        <v>53988</v>
      </c>
    </row>
    <row r="830" spans="3:13" x14ac:dyDescent="0.25">
      <c r="C830" s="3">
        <v>825</v>
      </c>
      <c r="D830" s="1">
        <v>64</v>
      </c>
      <c r="E830" s="1" t="s">
        <v>0</v>
      </c>
      <c r="F830" s="1" t="s">
        <v>4</v>
      </c>
      <c r="G830" s="1" t="s">
        <v>7</v>
      </c>
      <c r="H830" s="1">
        <v>10.61</v>
      </c>
      <c r="I830" s="1">
        <v>2</v>
      </c>
      <c r="J830" s="13">
        <v>40173</v>
      </c>
      <c r="M830">
        <v>24626</v>
      </c>
    </row>
    <row r="831" spans="3:13" x14ac:dyDescent="0.25">
      <c r="C831" s="3">
        <v>826</v>
      </c>
      <c r="D831" s="1">
        <v>56</v>
      </c>
      <c r="E831" s="1" t="s">
        <v>3</v>
      </c>
      <c r="F831" s="1" t="s">
        <v>1</v>
      </c>
      <c r="G831" s="1" t="s">
        <v>5</v>
      </c>
      <c r="H831" s="1">
        <v>10.6</v>
      </c>
      <c r="I831" s="1">
        <v>2</v>
      </c>
      <c r="J831" s="13">
        <v>109535</v>
      </c>
      <c r="M831">
        <v>17195</v>
      </c>
    </row>
    <row r="832" spans="3:13" x14ac:dyDescent="0.25">
      <c r="C832" s="3">
        <v>827</v>
      </c>
      <c r="D832" s="1">
        <v>36</v>
      </c>
      <c r="E832" s="1" t="s">
        <v>3</v>
      </c>
      <c r="F832" s="1" t="s">
        <v>1</v>
      </c>
      <c r="G832" s="1" t="s">
        <v>7</v>
      </c>
      <c r="H832" s="1">
        <v>9.34</v>
      </c>
      <c r="I832" s="1">
        <v>1</v>
      </c>
      <c r="J832" s="13">
        <v>51934</v>
      </c>
      <c r="M832">
        <v>10344</v>
      </c>
    </row>
    <row r="833" spans="3:13" x14ac:dyDescent="0.25">
      <c r="C833" s="3">
        <v>828</v>
      </c>
      <c r="D833" s="1">
        <v>41</v>
      </c>
      <c r="E833" s="1" t="s">
        <v>3</v>
      </c>
      <c r="F833" s="1" t="s">
        <v>1</v>
      </c>
      <c r="G833" s="1" t="s">
        <v>7</v>
      </c>
      <c r="H833" s="1">
        <v>10.26</v>
      </c>
      <c r="I833" s="1">
        <v>3</v>
      </c>
      <c r="J833" s="13">
        <v>98994</v>
      </c>
      <c r="M833">
        <v>32375</v>
      </c>
    </row>
    <row r="834" spans="3:13" x14ac:dyDescent="0.25">
      <c r="C834" s="3">
        <v>829</v>
      </c>
      <c r="D834" s="1">
        <v>39</v>
      </c>
      <c r="E834" s="1" t="s">
        <v>3</v>
      </c>
      <c r="F834" s="1" t="s">
        <v>4</v>
      </c>
      <c r="G834" s="1" t="s">
        <v>6</v>
      </c>
      <c r="H834" s="1">
        <v>7.28</v>
      </c>
      <c r="I834" s="1">
        <v>1</v>
      </c>
      <c r="J834" s="13">
        <v>15294</v>
      </c>
      <c r="M834">
        <v>30236</v>
      </c>
    </row>
    <row r="835" spans="3:13" x14ac:dyDescent="0.25">
      <c r="C835" s="3">
        <v>830</v>
      </c>
      <c r="D835" s="1">
        <v>63</v>
      </c>
      <c r="E835" s="1" t="s">
        <v>3</v>
      </c>
      <c r="F835" s="1" t="s">
        <v>4</v>
      </c>
      <c r="G835" s="1" t="s">
        <v>2</v>
      </c>
      <c r="H835" s="1">
        <v>11.03</v>
      </c>
      <c r="I835" s="1">
        <v>0</v>
      </c>
      <c r="J835" s="13">
        <v>33484</v>
      </c>
      <c r="M835">
        <v>5627</v>
      </c>
    </row>
    <row r="836" spans="3:13" x14ac:dyDescent="0.25">
      <c r="C836" s="3">
        <v>831</v>
      </c>
      <c r="D836" s="1">
        <v>36</v>
      </c>
      <c r="E836" s="1" t="s">
        <v>0</v>
      </c>
      <c r="F836" s="1" t="s">
        <v>4</v>
      </c>
      <c r="G836" s="1" t="s">
        <v>6</v>
      </c>
      <c r="H836" s="1">
        <v>8.61</v>
      </c>
      <c r="I836" s="1">
        <v>0</v>
      </c>
      <c r="J836" s="13">
        <v>13166</v>
      </c>
      <c r="M836">
        <v>56234</v>
      </c>
    </row>
    <row r="837" spans="3:13" x14ac:dyDescent="0.25">
      <c r="C837" s="3">
        <v>832</v>
      </c>
      <c r="D837" s="1">
        <v>28</v>
      </c>
      <c r="E837" s="1" t="s">
        <v>0</v>
      </c>
      <c r="F837" s="1" t="s">
        <v>4</v>
      </c>
      <c r="G837" s="1" t="s">
        <v>6</v>
      </c>
      <c r="H837" s="1">
        <v>7.95</v>
      </c>
      <c r="I837" s="1">
        <v>2</v>
      </c>
      <c r="J837" s="13">
        <v>11799</v>
      </c>
      <c r="M837">
        <v>4262</v>
      </c>
    </row>
    <row r="838" spans="3:13" x14ac:dyDescent="0.25">
      <c r="C838" s="3">
        <v>833</v>
      </c>
      <c r="D838" s="1">
        <v>58</v>
      </c>
      <c r="E838" s="1" t="s">
        <v>3</v>
      </c>
      <c r="F838" s="1" t="s">
        <v>4</v>
      </c>
      <c r="G838" s="1" t="s">
        <v>6</v>
      </c>
      <c r="H838" s="1">
        <v>11.46</v>
      </c>
      <c r="I838" s="1">
        <v>0</v>
      </c>
      <c r="J838" s="13">
        <v>29360</v>
      </c>
      <c r="M838">
        <v>7904</v>
      </c>
    </row>
    <row r="839" spans="3:13" x14ac:dyDescent="0.25">
      <c r="C839" s="3">
        <v>834</v>
      </c>
      <c r="D839" s="1">
        <v>36</v>
      </c>
      <c r="E839" s="1" t="s">
        <v>3</v>
      </c>
      <c r="F839" s="1" t="s">
        <v>4</v>
      </c>
      <c r="G839" s="1" t="s">
        <v>6</v>
      </c>
      <c r="H839" s="1">
        <v>11.27</v>
      </c>
      <c r="I839" s="1">
        <v>1</v>
      </c>
      <c r="J839" s="13">
        <v>13444</v>
      </c>
      <c r="M839">
        <v>28485</v>
      </c>
    </row>
    <row r="840" spans="3:13" x14ac:dyDescent="0.25">
      <c r="C840" s="3">
        <v>835</v>
      </c>
      <c r="D840" s="1">
        <v>42</v>
      </c>
      <c r="E840" s="1" t="s">
        <v>3</v>
      </c>
      <c r="F840" s="1" t="s">
        <v>4</v>
      </c>
      <c r="G840" s="1" t="s">
        <v>5</v>
      </c>
      <c r="H840" s="1">
        <v>11.99</v>
      </c>
      <c r="I840" s="1">
        <v>2</v>
      </c>
      <c r="J840" s="13">
        <v>17901</v>
      </c>
      <c r="M840">
        <v>18313</v>
      </c>
    </row>
    <row r="841" spans="3:13" x14ac:dyDescent="0.25">
      <c r="C841" s="3">
        <v>836</v>
      </c>
      <c r="D841" s="1">
        <v>36</v>
      </c>
      <c r="E841" s="1" t="s">
        <v>3</v>
      </c>
      <c r="F841" s="1" t="s">
        <v>4</v>
      </c>
      <c r="G841" s="1" t="s">
        <v>2</v>
      </c>
      <c r="H841" s="1">
        <v>10.5</v>
      </c>
      <c r="I841" s="1">
        <v>0</v>
      </c>
      <c r="J841" s="13">
        <v>11006</v>
      </c>
      <c r="M841">
        <v>8985</v>
      </c>
    </row>
    <row r="842" spans="3:13" x14ac:dyDescent="0.25">
      <c r="C842" s="3">
        <v>837</v>
      </c>
      <c r="D842" s="1">
        <v>56</v>
      </c>
      <c r="E842" s="1" t="s">
        <v>0</v>
      </c>
      <c r="F842" s="1" t="s">
        <v>4</v>
      </c>
      <c r="G842" s="1" t="s">
        <v>7</v>
      </c>
      <c r="H842" s="1">
        <v>9.44</v>
      </c>
      <c r="I842" s="1">
        <v>0</v>
      </c>
      <c r="J842" s="13">
        <v>29144</v>
      </c>
      <c r="M842">
        <v>20058</v>
      </c>
    </row>
    <row r="843" spans="3:13" x14ac:dyDescent="0.25">
      <c r="C843" s="3">
        <v>838</v>
      </c>
      <c r="D843" s="1">
        <v>35</v>
      </c>
      <c r="E843" s="1" t="s">
        <v>0</v>
      </c>
      <c r="F843" s="1" t="s">
        <v>4</v>
      </c>
      <c r="G843" s="1" t="s">
        <v>7</v>
      </c>
      <c r="H843" s="1">
        <v>7.82</v>
      </c>
      <c r="I843" s="1">
        <v>2</v>
      </c>
      <c r="J843" s="13">
        <v>16006</v>
      </c>
      <c r="M843">
        <v>35986</v>
      </c>
    </row>
    <row r="844" spans="3:13" x14ac:dyDescent="0.25">
      <c r="C844" s="3">
        <v>839</v>
      </c>
      <c r="D844" s="1">
        <v>59</v>
      </c>
      <c r="E844" s="1" t="s">
        <v>0</v>
      </c>
      <c r="F844" s="1" t="s">
        <v>4</v>
      </c>
      <c r="G844" s="1" t="s">
        <v>6</v>
      </c>
      <c r="H844" s="1">
        <v>10.45</v>
      </c>
      <c r="I844" s="1">
        <v>0</v>
      </c>
      <c r="J844" s="13">
        <v>31555</v>
      </c>
      <c r="M844">
        <v>23220</v>
      </c>
    </row>
    <row r="845" spans="3:13" x14ac:dyDescent="0.25">
      <c r="C845" s="3">
        <v>840</v>
      </c>
      <c r="D845" s="1">
        <v>21</v>
      </c>
      <c r="E845" s="1" t="s">
        <v>3</v>
      </c>
      <c r="F845" s="1" t="s">
        <v>4</v>
      </c>
      <c r="G845" s="1" t="s">
        <v>2</v>
      </c>
      <c r="H845" s="1">
        <v>10.37</v>
      </c>
      <c r="I845" s="1">
        <v>0</v>
      </c>
      <c r="J845" s="13">
        <v>3816</v>
      </c>
      <c r="M845">
        <v>8384</v>
      </c>
    </row>
    <row r="846" spans="3:13" x14ac:dyDescent="0.25">
      <c r="C846" s="3">
        <v>841</v>
      </c>
      <c r="D846" s="1">
        <v>59</v>
      </c>
      <c r="E846" s="1" t="s">
        <v>3</v>
      </c>
      <c r="F846" s="1" t="s">
        <v>4</v>
      </c>
      <c r="G846" s="1" t="s">
        <v>7</v>
      </c>
      <c r="H846" s="1">
        <v>8.23</v>
      </c>
      <c r="I846" s="1">
        <v>0</v>
      </c>
      <c r="J846" s="13">
        <v>30810</v>
      </c>
      <c r="M846">
        <v>26486</v>
      </c>
    </row>
    <row r="847" spans="3:13" x14ac:dyDescent="0.25">
      <c r="C847" s="3">
        <v>842</v>
      </c>
      <c r="D847" s="1">
        <v>23</v>
      </c>
      <c r="E847" s="1" t="s">
        <v>0</v>
      </c>
      <c r="F847" s="1" t="s">
        <v>1</v>
      </c>
      <c r="G847" s="1" t="s">
        <v>5</v>
      </c>
      <c r="H847" s="1">
        <v>10.93</v>
      </c>
      <c r="I847" s="1">
        <v>2</v>
      </c>
      <c r="J847" s="13">
        <v>90053</v>
      </c>
      <c r="M847">
        <v>20694</v>
      </c>
    </row>
    <row r="848" spans="3:13" x14ac:dyDescent="0.25">
      <c r="C848" s="3">
        <v>843</v>
      </c>
      <c r="D848" s="1">
        <v>57</v>
      </c>
      <c r="E848" s="1" t="s">
        <v>0</v>
      </c>
      <c r="F848" s="1" t="s">
        <v>1</v>
      </c>
      <c r="G848" s="1" t="s">
        <v>5</v>
      </c>
      <c r="H848" s="1">
        <v>9.94</v>
      </c>
      <c r="I848" s="1">
        <v>0</v>
      </c>
      <c r="J848" s="13">
        <v>68835</v>
      </c>
      <c r="M848">
        <v>44823</v>
      </c>
    </row>
    <row r="849" spans="3:13" x14ac:dyDescent="0.25">
      <c r="C849" s="3">
        <v>844</v>
      </c>
      <c r="D849" s="1">
        <v>53</v>
      </c>
      <c r="E849" s="1" t="s">
        <v>3</v>
      </c>
      <c r="F849" s="1" t="s">
        <v>4</v>
      </c>
      <c r="G849" s="1" t="s">
        <v>7</v>
      </c>
      <c r="H849" s="1">
        <v>10.17</v>
      </c>
      <c r="I849" s="1">
        <v>0</v>
      </c>
      <c r="J849" s="13">
        <v>25180</v>
      </c>
      <c r="M849">
        <v>6202</v>
      </c>
    </row>
    <row r="850" spans="3:13" x14ac:dyDescent="0.25">
      <c r="C850" s="3">
        <v>845</v>
      </c>
      <c r="D850" s="1">
        <v>60</v>
      </c>
      <c r="E850" s="1" t="s">
        <v>0</v>
      </c>
      <c r="F850" s="1" t="s">
        <v>1</v>
      </c>
      <c r="G850" s="1" t="s">
        <v>5</v>
      </c>
      <c r="H850" s="1">
        <v>10.82</v>
      </c>
      <c r="I850" s="1">
        <v>0</v>
      </c>
      <c r="J850" s="13">
        <v>112522</v>
      </c>
      <c r="M850">
        <v>11157</v>
      </c>
    </row>
    <row r="851" spans="3:13" x14ac:dyDescent="0.25">
      <c r="C851" s="3">
        <v>846</v>
      </c>
      <c r="D851" s="1">
        <v>51</v>
      </c>
      <c r="E851" s="1" t="s">
        <v>0</v>
      </c>
      <c r="F851" s="1" t="s">
        <v>4</v>
      </c>
      <c r="G851" s="1" t="s">
        <v>2</v>
      </c>
      <c r="H851" s="1">
        <v>11.4</v>
      </c>
      <c r="I851" s="1">
        <v>1</v>
      </c>
      <c r="J851" s="13">
        <v>24682</v>
      </c>
      <c r="M851">
        <v>4954</v>
      </c>
    </row>
    <row r="852" spans="3:13" x14ac:dyDescent="0.25">
      <c r="C852" s="3">
        <v>847</v>
      </c>
      <c r="D852" s="1">
        <v>23</v>
      </c>
      <c r="E852" s="1" t="s">
        <v>3</v>
      </c>
      <c r="F852" s="1" t="s">
        <v>4</v>
      </c>
      <c r="G852" s="1" t="s">
        <v>5</v>
      </c>
      <c r="H852" s="1">
        <v>16.79</v>
      </c>
      <c r="I852" s="1">
        <v>1</v>
      </c>
      <c r="J852" s="13">
        <v>6095</v>
      </c>
      <c r="M852">
        <v>28886</v>
      </c>
    </row>
    <row r="853" spans="3:13" x14ac:dyDescent="0.25">
      <c r="C853" s="3">
        <v>848</v>
      </c>
      <c r="D853" s="1">
        <v>27</v>
      </c>
      <c r="E853" s="1" t="s">
        <v>0</v>
      </c>
      <c r="F853" s="1" t="s">
        <v>4</v>
      </c>
      <c r="G853" s="1" t="s">
        <v>2</v>
      </c>
      <c r="H853" s="1">
        <v>8.0299999999999994</v>
      </c>
      <c r="I853" s="1">
        <v>0</v>
      </c>
      <c r="J853" s="13">
        <v>7435</v>
      </c>
      <c r="M853">
        <v>16370</v>
      </c>
    </row>
    <row r="854" spans="3:13" x14ac:dyDescent="0.25">
      <c r="C854" s="3">
        <v>849</v>
      </c>
      <c r="D854" s="1">
        <v>55</v>
      </c>
      <c r="E854" s="1" t="s">
        <v>3</v>
      </c>
      <c r="F854" s="1" t="s">
        <v>4</v>
      </c>
      <c r="G854" s="1" t="s">
        <v>6</v>
      </c>
      <c r="H854" s="1">
        <v>10.92</v>
      </c>
      <c r="I854" s="1">
        <v>0</v>
      </c>
      <c r="J854" s="13">
        <v>26504</v>
      </c>
      <c r="M854">
        <v>14272</v>
      </c>
    </row>
    <row r="855" spans="3:13" x14ac:dyDescent="0.25">
      <c r="C855" s="3">
        <v>850</v>
      </c>
      <c r="D855" s="1">
        <v>37</v>
      </c>
      <c r="E855" s="1" t="s">
        <v>0</v>
      </c>
      <c r="F855" s="1" t="s">
        <v>1</v>
      </c>
      <c r="G855" s="1" t="s">
        <v>7</v>
      </c>
      <c r="H855" s="1">
        <v>10.26</v>
      </c>
      <c r="I855" s="1">
        <v>0</v>
      </c>
      <c r="J855" s="13">
        <v>93175</v>
      </c>
      <c r="M855">
        <v>17614</v>
      </c>
    </row>
    <row r="856" spans="3:13" x14ac:dyDescent="0.25">
      <c r="C856" s="3">
        <v>851</v>
      </c>
      <c r="D856" s="1">
        <v>61</v>
      </c>
      <c r="E856" s="1" t="s">
        <v>3</v>
      </c>
      <c r="F856" s="1" t="s">
        <v>4</v>
      </c>
      <c r="G856" s="1" t="s">
        <v>6</v>
      </c>
      <c r="H856" s="1">
        <v>10.77</v>
      </c>
      <c r="I856" s="1">
        <v>2</v>
      </c>
      <c r="J856" s="13">
        <v>35299</v>
      </c>
      <c r="M856">
        <v>22445</v>
      </c>
    </row>
    <row r="857" spans="3:13" x14ac:dyDescent="0.25">
      <c r="C857" s="3">
        <v>852</v>
      </c>
      <c r="D857" s="1">
        <v>46</v>
      </c>
      <c r="E857" s="1" t="s">
        <v>0</v>
      </c>
      <c r="F857" s="1" t="s">
        <v>1</v>
      </c>
      <c r="G857" s="1" t="s">
        <v>7</v>
      </c>
      <c r="H857" s="1">
        <v>11.84</v>
      </c>
      <c r="I857" s="1">
        <v>0</v>
      </c>
      <c r="J857" s="13">
        <v>105279</v>
      </c>
      <c r="M857">
        <v>14394</v>
      </c>
    </row>
    <row r="858" spans="3:13" x14ac:dyDescent="0.25">
      <c r="C858" s="3">
        <v>853</v>
      </c>
      <c r="D858" s="1">
        <v>53</v>
      </c>
      <c r="E858" s="1" t="s">
        <v>0</v>
      </c>
      <c r="F858" s="1" t="s">
        <v>4</v>
      </c>
      <c r="G858" s="1" t="s">
        <v>7</v>
      </c>
      <c r="H858" s="1">
        <v>7.92</v>
      </c>
      <c r="I858" s="1">
        <v>2</v>
      </c>
      <c r="J858" s="13">
        <v>29324</v>
      </c>
      <c r="M858">
        <v>35875</v>
      </c>
    </row>
    <row r="859" spans="3:13" x14ac:dyDescent="0.25">
      <c r="C859" s="3">
        <v>854</v>
      </c>
      <c r="D859" s="1">
        <v>49</v>
      </c>
      <c r="E859" s="1" t="s">
        <v>0</v>
      </c>
      <c r="F859" s="1" t="s">
        <v>1</v>
      </c>
      <c r="G859" s="1" t="s">
        <v>7</v>
      </c>
      <c r="H859" s="1">
        <v>7.95</v>
      </c>
      <c r="I859" s="1">
        <v>3</v>
      </c>
      <c r="J859" s="13">
        <v>60267</v>
      </c>
      <c r="M859">
        <v>27322</v>
      </c>
    </row>
    <row r="860" spans="3:13" x14ac:dyDescent="0.25">
      <c r="C860" s="3">
        <v>855</v>
      </c>
      <c r="D860" s="1">
        <v>20</v>
      </c>
      <c r="E860" s="1" t="s">
        <v>0</v>
      </c>
      <c r="F860" s="1" t="s">
        <v>4</v>
      </c>
      <c r="G860" s="1" t="s">
        <v>2</v>
      </c>
      <c r="H860" s="1">
        <v>9.8699999999999992</v>
      </c>
      <c r="I860" s="1">
        <v>0</v>
      </c>
      <c r="J860" s="13">
        <v>4688</v>
      </c>
      <c r="M860">
        <v>34936</v>
      </c>
    </row>
    <row r="861" spans="3:13" x14ac:dyDescent="0.25">
      <c r="C861" s="3">
        <v>856</v>
      </c>
      <c r="D861" s="1">
        <v>48</v>
      </c>
      <c r="E861" s="1" t="s">
        <v>0</v>
      </c>
      <c r="F861" s="1" t="s">
        <v>1</v>
      </c>
      <c r="G861" s="1" t="s">
        <v>5</v>
      </c>
      <c r="H861" s="1">
        <v>11.04</v>
      </c>
      <c r="I861" s="1">
        <v>0</v>
      </c>
      <c r="J861" s="13">
        <v>102435</v>
      </c>
      <c r="M861">
        <v>4774</v>
      </c>
    </row>
    <row r="862" spans="3:13" x14ac:dyDescent="0.25">
      <c r="C862" s="3">
        <v>857</v>
      </c>
      <c r="D862" s="1">
        <v>25</v>
      </c>
      <c r="E862" s="1" t="s">
        <v>3</v>
      </c>
      <c r="F862" s="1" t="s">
        <v>1</v>
      </c>
      <c r="G862" s="1" t="s">
        <v>6</v>
      </c>
      <c r="H862" s="1">
        <v>8.0399999999999991</v>
      </c>
      <c r="I862" s="1">
        <v>0</v>
      </c>
      <c r="J862" s="13">
        <v>39545</v>
      </c>
      <c r="M862">
        <v>30242</v>
      </c>
    </row>
    <row r="863" spans="3:13" x14ac:dyDescent="0.25">
      <c r="C863" s="3">
        <v>858</v>
      </c>
      <c r="D863" s="1">
        <v>25</v>
      </c>
      <c r="E863" s="1" t="s">
        <v>0</v>
      </c>
      <c r="F863" s="1" t="s">
        <v>4</v>
      </c>
      <c r="G863" s="1" t="s">
        <v>5</v>
      </c>
      <c r="H863" s="1">
        <v>10.74</v>
      </c>
      <c r="I863" s="1">
        <v>1</v>
      </c>
      <c r="J863" s="13">
        <v>45545</v>
      </c>
      <c r="M863">
        <v>33011</v>
      </c>
    </row>
    <row r="864" spans="3:13" x14ac:dyDescent="0.25">
      <c r="C864" s="3">
        <v>859</v>
      </c>
      <c r="D864" s="1">
        <v>57</v>
      </c>
      <c r="E864" s="1" t="s">
        <v>3</v>
      </c>
      <c r="F864" s="1" t="s">
        <v>4</v>
      </c>
      <c r="G864" s="1" t="s">
        <v>2</v>
      </c>
      <c r="H864" s="1">
        <v>9.3699999999999992</v>
      </c>
      <c r="I864" s="1">
        <v>0</v>
      </c>
      <c r="J864" s="13">
        <v>27414</v>
      </c>
      <c r="M864">
        <v>11407</v>
      </c>
    </row>
    <row r="865" spans="3:13" x14ac:dyDescent="0.25">
      <c r="C865" s="3">
        <v>860</v>
      </c>
      <c r="D865" s="1">
        <v>37</v>
      </c>
      <c r="E865" s="1" t="s">
        <v>0</v>
      </c>
      <c r="F865" s="1" t="s">
        <v>1</v>
      </c>
      <c r="G865" s="1" t="s">
        <v>2</v>
      </c>
      <c r="H865" s="1">
        <v>15.87</v>
      </c>
      <c r="I865" s="1">
        <v>2</v>
      </c>
      <c r="J865" s="13">
        <v>115284</v>
      </c>
      <c r="M865">
        <v>21378</v>
      </c>
    </row>
    <row r="866" spans="3:13" x14ac:dyDescent="0.25">
      <c r="C866" s="3">
        <v>861</v>
      </c>
      <c r="D866" s="1">
        <v>38</v>
      </c>
      <c r="E866" s="1" t="s">
        <v>0</v>
      </c>
      <c r="F866" s="1" t="s">
        <v>4</v>
      </c>
      <c r="G866" s="1" t="s">
        <v>2</v>
      </c>
      <c r="H866" s="1">
        <v>9.33</v>
      </c>
      <c r="I866" s="1">
        <v>3</v>
      </c>
      <c r="J866" s="13">
        <v>17878</v>
      </c>
      <c r="M866">
        <v>5256</v>
      </c>
    </row>
    <row r="867" spans="3:13" x14ac:dyDescent="0.25">
      <c r="C867" s="3">
        <v>862</v>
      </c>
      <c r="D867" s="1">
        <v>55</v>
      </c>
      <c r="E867" s="1" t="s">
        <v>0</v>
      </c>
      <c r="F867" s="1" t="s">
        <v>4</v>
      </c>
      <c r="G867" s="1" t="s">
        <v>6</v>
      </c>
      <c r="H867" s="1">
        <v>11.18</v>
      </c>
      <c r="I867" s="1">
        <v>2</v>
      </c>
      <c r="J867" s="13">
        <v>30674</v>
      </c>
      <c r="M867">
        <v>37904</v>
      </c>
    </row>
    <row r="868" spans="3:13" x14ac:dyDescent="0.25">
      <c r="C868" s="3">
        <v>863</v>
      </c>
      <c r="D868" s="1">
        <v>36</v>
      </c>
      <c r="E868" s="1" t="s">
        <v>0</v>
      </c>
      <c r="F868" s="1" t="s">
        <v>4</v>
      </c>
      <c r="G868" s="1" t="s">
        <v>7</v>
      </c>
      <c r="H868" s="1">
        <v>6.62</v>
      </c>
      <c r="I868" s="1">
        <v>0</v>
      </c>
      <c r="J868" s="13">
        <v>13645</v>
      </c>
      <c r="M868">
        <v>29710</v>
      </c>
    </row>
    <row r="869" spans="3:13" x14ac:dyDescent="0.25">
      <c r="C869" s="3">
        <v>864</v>
      </c>
      <c r="D869" s="1">
        <v>51</v>
      </c>
      <c r="E869" s="1" t="s">
        <v>3</v>
      </c>
      <c r="F869" s="1" t="s">
        <v>4</v>
      </c>
      <c r="G869" s="1" t="s">
        <v>2</v>
      </c>
      <c r="H869" s="1">
        <v>8.4700000000000006</v>
      </c>
      <c r="I869" s="1">
        <v>0</v>
      </c>
      <c r="J869" s="13">
        <v>21956</v>
      </c>
      <c r="M869">
        <v>11136</v>
      </c>
    </row>
    <row r="870" spans="3:13" x14ac:dyDescent="0.25">
      <c r="C870" s="3">
        <v>865</v>
      </c>
      <c r="D870" s="1">
        <v>40</v>
      </c>
      <c r="E870" s="1" t="s">
        <v>3</v>
      </c>
      <c r="F870" s="1" t="s">
        <v>4</v>
      </c>
      <c r="G870" s="1" t="s">
        <v>2</v>
      </c>
      <c r="H870" s="1">
        <v>9.9700000000000006</v>
      </c>
      <c r="I870" s="1">
        <v>2</v>
      </c>
      <c r="J870" s="13">
        <v>16501</v>
      </c>
      <c r="M870">
        <v>14640</v>
      </c>
    </row>
    <row r="871" spans="3:13" x14ac:dyDescent="0.25">
      <c r="C871" s="3">
        <v>866</v>
      </c>
      <c r="D871" s="1">
        <v>18</v>
      </c>
      <c r="E871" s="1" t="s">
        <v>3</v>
      </c>
      <c r="F871" s="1" t="s">
        <v>4</v>
      </c>
      <c r="G871" s="1" t="s">
        <v>5</v>
      </c>
      <c r="H871" s="1">
        <v>12.43</v>
      </c>
      <c r="I871" s="1">
        <v>0</v>
      </c>
      <c r="J871" s="13">
        <v>2854</v>
      </c>
      <c r="M871">
        <v>10191</v>
      </c>
    </row>
    <row r="872" spans="3:13" x14ac:dyDescent="0.25">
      <c r="C872" s="3">
        <v>867</v>
      </c>
      <c r="D872" s="1">
        <v>57</v>
      </c>
      <c r="E872" s="1" t="s">
        <v>3</v>
      </c>
      <c r="F872" s="1" t="s">
        <v>4</v>
      </c>
      <c r="G872" s="1" t="s">
        <v>2</v>
      </c>
      <c r="H872" s="1">
        <v>14.57</v>
      </c>
      <c r="I872" s="1">
        <v>1</v>
      </c>
      <c r="J872" s="13">
        <v>28940</v>
      </c>
      <c r="M872">
        <v>37549</v>
      </c>
    </row>
    <row r="873" spans="3:13" x14ac:dyDescent="0.25">
      <c r="C873" s="3">
        <v>868</v>
      </c>
      <c r="D873" s="1">
        <v>61</v>
      </c>
      <c r="E873" s="1" t="s">
        <v>3</v>
      </c>
      <c r="F873" s="1" t="s">
        <v>4</v>
      </c>
      <c r="G873" s="1" t="s">
        <v>7</v>
      </c>
      <c r="H873" s="1">
        <v>7.89</v>
      </c>
      <c r="I873" s="1">
        <v>0</v>
      </c>
      <c r="J873" s="13">
        <v>32824</v>
      </c>
      <c r="M873">
        <v>26991</v>
      </c>
    </row>
    <row r="874" spans="3:13" x14ac:dyDescent="0.25">
      <c r="C874" s="3">
        <v>869</v>
      </c>
      <c r="D874" s="1">
        <v>25</v>
      </c>
      <c r="E874" s="1" t="s">
        <v>0</v>
      </c>
      <c r="F874" s="1" t="s">
        <v>4</v>
      </c>
      <c r="G874" s="1" t="s">
        <v>2</v>
      </c>
      <c r="H874" s="1">
        <v>8.1</v>
      </c>
      <c r="I874" s="1">
        <v>3</v>
      </c>
      <c r="J874" s="13">
        <v>10979</v>
      </c>
      <c r="M874">
        <v>28383</v>
      </c>
    </row>
    <row r="875" spans="3:13" x14ac:dyDescent="0.25">
      <c r="C875" s="3">
        <v>870</v>
      </c>
      <c r="D875" s="1">
        <v>50</v>
      </c>
      <c r="E875" s="1" t="s">
        <v>3</v>
      </c>
      <c r="F875" s="1" t="s">
        <v>4</v>
      </c>
      <c r="G875" s="1" t="s">
        <v>2</v>
      </c>
      <c r="H875" s="1">
        <v>12.07</v>
      </c>
      <c r="I875" s="1">
        <v>0</v>
      </c>
      <c r="J875" s="13">
        <v>21145</v>
      </c>
      <c r="M875">
        <v>24372</v>
      </c>
    </row>
    <row r="876" spans="3:13" x14ac:dyDescent="0.25">
      <c r="C876" s="3">
        <v>871</v>
      </c>
      <c r="D876" s="1">
        <v>26</v>
      </c>
      <c r="E876" s="1" t="s">
        <v>0</v>
      </c>
      <c r="F876" s="1" t="s">
        <v>4</v>
      </c>
      <c r="G876" s="1" t="s">
        <v>5</v>
      </c>
      <c r="H876" s="1">
        <v>9.83</v>
      </c>
      <c r="I876" s="1">
        <v>1</v>
      </c>
      <c r="J876" s="13">
        <v>8481</v>
      </c>
      <c r="M876">
        <v>26443</v>
      </c>
    </row>
    <row r="877" spans="3:13" x14ac:dyDescent="0.25">
      <c r="C877" s="3">
        <v>872</v>
      </c>
      <c r="D877" s="1">
        <v>42</v>
      </c>
      <c r="E877" s="1" t="s">
        <v>3</v>
      </c>
      <c r="F877" s="1" t="s">
        <v>4</v>
      </c>
      <c r="G877" s="1" t="s">
        <v>5</v>
      </c>
      <c r="H877" s="1">
        <v>8.2899999999999991</v>
      </c>
      <c r="I877" s="1">
        <v>0</v>
      </c>
      <c r="J877" s="13">
        <v>14917</v>
      </c>
      <c r="M877">
        <v>28216</v>
      </c>
    </row>
    <row r="878" spans="3:13" x14ac:dyDescent="0.25">
      <c r="C878" s="3">
        <v>873</v>
      </c>
      <c r="D878" s="1">
        <v>43</v>
      </c>
      <c r="E878" s="1" t="s">
        <v>3</v>
      </c>
      <c r="F878" s="1" t="s">
        <v>4</v>
      </c>
      <c r="G878" s="1" t="s">
        <v>2</v>
      </c>
      <c r="H878" s="1">
        <v>10.029999999999999</v>
      </c>
      <c r="I878" s="1">
        <v>1</v>
      </c>
      <c r="J878" s="13">
        <v>17123</v>
      </c>
      <c r="M878">
        <v>8979</v>
      </c>
    </row>
    <row r="879" spans="3:13" x14ac:dyDescent="0.25">
      <c r="C879" s="3">
        <v>874</v>
      </c>
      <c r="D879" s="1">
        <v>44</v>
      </c>
      <c r="E879" s="1" t="s">
        <v>3</v>
      </c>
      <c r="F879" s="1" t="s">
        <v>4</v>
      </c>
      <c r="G879" s="1" t="s">
        <v>7</v>
      </c>
      <c r="H879" s="1">
        <v>7.28</v>
      </c>
      <c r="I879" s="1">
        <v>3</v>
      </c>
      <c r="J879" s="13">
        <v>22228</v>
      </c>
      <c r="M879">
        <v>28248</v>
      </c>
    </row>
    <row r="880" spans="3:13" x14ac:dyDescent="0.25">
      <c r="C880" s="3">
        <v>875</v>
      </c>
      <c r="D880" s="1">
        <v>23</v>
      </c>
      <c r="E880" s="1" t="s">
        <v>0</v>
      </c>
      <c r="F880" s="1" t="s">
        <v>4</v>
      </c>
      <c r="G880" s="1" t="s">
        <v>6</v>
      </c>
      <c r="H880" s="1">
        <v>9.3699999999999992</v>
      </c>
      <c r="I880" s="1">
        <v>0</v>
      </c>
      <c r="J880" s="13">
        <v>6725</v>
      </c>
      <c r="M880">
        <v>11403</v>
      </c>
    </row>
    <row r="881" spans="3:13" x14ac:dyDescent="0.25">
      <c r="C881" s="3">
        <v>876</v>
      </c>
      <c r="D881" s="1">
        <v>49</v>
      </c>
      <c r="E881" s="1" t="s">
        <v>0</v>
      </c>
      <c r="F881" s="1" t="s">
        <v>4</v>
      </c>
      <c r="G881" s="1" t="s">
        <v>2</v>
      </c>
      <c r="H881" s="1">
        <v>9.0299999999999994</v>
      </c>
      <c r="I881" s="1">
        <v>1</v>
      </c>
      <c r="J881" s="13">
        <v>65351</v>
      </c>
      <c r="M881">
        <v>4187</v>
      </c>
    </row>
    <row r="882" spans="3:13" x14ac:dyDescent="0.25">
      <c r="C882" s="3">
        <v>877</v>
      </c>
      <c r="D882" s="1">
        <v>33</v>
      </c>
      <c r="E882" s="1" t="s">
        <v>3</v>
      </c>
      <c r="F882" s="1" t="s">
        <v>4</v>
      </c>
      <c r="G882" s="1" t="s">
        <v>5</v>
      </c>
      <c r="H882" s="1">
        <v>11.15</v>
      </c>
      <c r="I882" s="1">
        <v>5</v>
      </c>
      <c r="J882" s="13">
        <v>16634</v>
      </c>
      <c r="M882">
        <v>57614</v>
      </c>
    </row>
    <row r="883" spans="3:13" x14ac:dyDescent="0.25">
      <c r="C883" s="3">
        <v>878</v>
      </c>
      <c r="D883" s="1">
        <v>41</v>
      </c>
      <c r="E883" s="1" t="s">
        <v>3</v>
      </c>
      <c r="F883" s="1" t="s">
        <v>4</v>
      </c>
      <c r="G883" s="1" t="s">
        <v>2</v>
      </c>
      <c r="H883" s="1">
        <v>9.6</v>
      </c>
      <c r="I883" s="1">
        <v>1</v>
      </c>
      <c r="J883" s="13">
        <v>15706</v>
      </c>
      <c r="M883">
        <v>8068</v>
      </c>
    </row>
    <row r="884" spans="3:13" x14ac:dyDescent="0.25">
      <c r="C884" s="3">
        <v>879</v>
      </c>
      <c r="D884" s="1">
        <v>37</v>
      </c>
      <c r="E884" s="1" t="s">
        <v>0</v>
      </c>
      <c r="F884" s="1" t="s">
        <v>4</v>
      </c>
      <c r="G884" s="1" t="s">
        <v>2</v>
      </c>
      <c r="H884" s="1">
        <v>9.83</v>
      </c>
      <c r="I884" s="1">
        <v>2</v>
      </c>
      <c r="J884" s="13">
        <v>15780</v>
      </c>
      <c r="M884">
        <v>28134</v>
      </c>
    </row>
    <row r="885" spans="3:13" x14ac:dyDescent="0.25">
      <c r="C885" s="3">
        <v>880</v>
      </c>
      <c r="D885" s="1">
        <v>22</v>
      </c>
      <c r="E885" s="1" t="s">
        <v>3</v>
      </c>
      <c r="F885" s="1" t="s">
        <v>4</v>
      </c>
      <c r="G885" s="1" t="s">
        <v>2</v>
      </c>
      <c r="H885" s="1">
        <v>11.6</v>
      </c>
      <c r="I885" s="1">
        <v>3</v>
      </c>
      <c r="J885" s="13">
        <v>8608</v>
      </c>
      <c r="M885">
        <v>8679</v>
      </c>
    </row>
    <row r="886" spans="3:13" x14ac:dyDescent="0.25">
      <c r="C886" s="3">
        <v>881</v>
      </c>
      <c r="D886" s="1">
        <v>23</v>
      </c>
      <c r="E886" s="1" t="s">
        <v>3</v>
      </c>
      <c r="F886" s="1" t="s">
        <v>4</v>
      </c>
      <c r="G886" s="1" t="s">
        <v>6</v>
      </c>
      <c r="H886" s="1">
        <v>9.1199999999999992</v>
      </c>
      <c r="I886" s="1">
        <v>1</v>
      </c>
      <c r="J886" s="13">
        <v>6973</v>
      </c>
      <c r="M886">
        <v>28408</v>
      </c>
    </row>
    <row r="887" spans="3:13" x14ac:dyDescent="0.25">
      <c r="C887" s="3">
        <v>882</v>
      </c>
      <c r="D887" s="1">
        <v>21</v>
      </c>
      <c r="E887" s="1" t="s">
        <v>0</v>
      </c>
      <c r="F887" s="1" t="s">
        <v>4</v>
      </c>
      <c r="G887" s="1" t="s">
        <v>7</v>
      </c>
      <c r="H887" s="1">
        <v>7.38</v>
      </c>
      <c r="I887" s="1">
        <v>0</v>
      </c>
      <c r="J887" s="13">
        <v>6465</v>
      </c>
      <c r="M887">
        <v>51052</v>
      </c>
    </row>
    <row r="888" spans="3:13" x14ac:dyDescent="0.25">
      <c r="C888" s="3">
        <v>883</v>
      </c>
      <c r="D888" s="1">
        <v>51</v>
      </c>
      <c r="E888" s="1" t="s">
        <v>0</v>
      </c>
      <c r="F888" s="1" t="s">
        <v>1</v>
      </c>
      <c r="G888" s="1" t="s">
        <v>7</v>
      </c>
      <c r="H888" s="1">
        <v>12.35</v>
      </c>
      <c r="I888" s="1">
        <v>3</v>
      </c>
      <c r="J888" s="13">
        <v>115638</v>
      </c>
      <c r="M888">
        <v>25847</v>
      </c>
    </row>
    <row r="889" spans="3:13" x14ac:dyDescent="0.25">
      <c r="C889" s="3">
        <v>884</v>
      </c>
      <c r="D889" s="1">
        <v>25</v>
      </c>
      <c r="E889" s="1" t="s">
        <v>3</v>
      </c>
      <c r="F889" s="1" t="s">
        <v>4</v>
      </c>
      <c r="G889" s="1" t="s">
        <v>6</v>
      </c>
      <c r="H889" s="1">
        <v>8.9</v>
      </c>
      <c r="I889" s="1">
        <v>4</v>
      </c>
      <c r="J889" s="13">
        <v>12195</v>
      </c>
      <c r="M889">
        <v>22470</v>
      </c>
    </row>
    <row r="890" spans="3:13" x14ac:dyDescent="0.25">
      <c r="C890" s="3">
        <v>885</v>
      </c>
      <c r="D890" s="1">
        <v>32</v>
      </c>
      <c r="E890" s="1" t="s">
        <v>3</v>
      </c>
      <c r="F890" s="1" t="s">
        <v>1</v>
      </c>
      <c r="G890" s="1" t="s">
        <v>5</v>
      </c>
      <c r="H890" s="1">
        <v>9.64</v>
      </c>
      <c r="I890" s="1">
        <v>1</v>
      </c>
      <c r="J890" s="13">
        <v>49299</v>
      </c>
      <c r="M890">
        <v>26235</v>
      </c>
    </row>
    <row r="891" spans="3:13" x14ac:dyDescent="0.25">
      <c r="C891" s="3">
        <v>886</v>
      </c>
      <c r="D891" s="1">
        <v>57</v>
      </c>
      <c r="E891" s="1" t="s">
        <v>3</v>
      </c>
      <c r="F891" s="1" t="s">
        <v>1</v>
      </c>
      <c r="G891" s="1" t="s">
        <v>7</v>
      </c>
      <c r="H891" s="1">
        <v>9.66</v>
      </c>
      <c r="I891" s="1">
        <v>0</v>
      </c>
      <c r="J891" s="13">
        <v>68046</v>
      </c>
      <c r="M891">
        <v>7260</v>
      </c>
    </row>
    <row r="892" spans="3:13" x14ac:dyDescent="0.25">
      <c r="C892" s="3">
        <v>887</v>
      </c>
      <c r="D892" s="1">
        <v>36</v>
      </c>
      <c r="E892" s="1" t="s">
        <v>0</v>
      </c>
      <c r="F892" s="1" t="s">
        <v>4</v>
      </c>
      <c r="G892" s="1" t="s">
        <v>6</v>
      </c>
      <c r="H892" s="1">
        <v>10.01</v>
      </c>
      <c r="I892" s="1">
        <v>0</v>
      </c>
      <c r="J892" s="13">
        <v>13180</v>
      </c>
      <c r="M892">
        <v>21513</v>
      </c>
    </row>
    <row r="893" spans="3:13" x14ac:dyDescent="0.25">
      <c r="C893" s="3">
        <v>888</v>
      </c>
      <c r="D893" s="1">
        <v>22</v>
      </c>
      <c r="E893" s="1" t="s">
        <v>3</v>
      </c>
      <c r="F893" s="1" t="s">
        <v>4</v>
      </c>
      <c r="G893" s="1" t="s">
        <v>2</v>
      </c>
      <c r="H893" s="1">
        <v>13.17</v>
      </c>
      <c r="I893" s="1">
        <v>0</v>
      </c>
      <c r="J893" s="13">
        <v>4206</v>
      </c>
      <c r="M893">
        <v>28781</v>
      </c>
    </row>
    <row r="894" spans="3:13" x14ac:dyDescent="0.25">
      <c r="C894" s="3">
        <v>889</v>
      </c>
      <c r="D894" s="1">
        <v>57</v>
      </c>
      <c r="E894" s="1" t="s">
        <v>3</v>
      </c>
      <c r="F894" s="1" t="s">
        <v>4</v>
      </c>
      <c r="G894" s="1" t="s">
        <v>6</v>
      </c>
      <c r="H894" s="1">
        <v>11.21</v>
      </c>
      <c r="I894" s="1">
        <v>1</v>
      </c>
      <c r="J894" s="13">
        <v>29863</v>
      </c>
      <c r="M894">
        <v>13280</v>
      </c>
    </row>
    <row r="895" spans="3:13" x14ac:dyDescent="0.25">
      <c r="C895" s="3">
        <v>890</v>
      </c>
      <c r="D895" s="1">
        <v>64</v>
      </c>
      <c r="E895" s="1" t="s">
        <v>0</v>
      </c>
      <c r="F895" s="1" t="s">
        <v>1</v>
      </c>
      <c r="G895" s="1" t="s">
        <v>6</v>
      </c>
      <c r="H895" s="1">
        <v>8.9600000000000009</v>
      </c>
      <c r="I895" s="1">
        <v>0</v>
      </c>
      <c r="J895" s="13">
        <v>73327</v>
      </c>
      <c r="M895">
        <v>5990</v>
      </c>
    </row>
    <row r="896" spans="3:13" x14ac:dyDescent="0.25">
      <c r="C896" s="3">
        <v>891</v>
      </c>
      <c r="D896" s="1">
        <v>36</v>
      </c>
      <c r="E896" s="1" t="s">
        <v>0</v>
      </c>
      <c r="F896" s="1" t="s">
        <v>4</v>
      </c>
      <c r="G896" s="1" t="s">
        <v>5</v>
      </c>
      <c r="H896" s="1">
        <v>9.68</v>
      </c>
      <c r="I896" s="1">
        <v>4</v>
      </c>
      <c r="J896" s="13">
        <v>18110</v>
      </c>
      <c r="M896">
        <v>27019</v>
      </c>
    </row>
    <row r="897" spans="3:13" x14ac:dyDescent="0.25">
      <c r="C897" s="3">
        <v>892</v>
      </c>
      <c r="D897" s="1">
        <v>54</v>
      </c>
      <c r="E897" s="1" t="s">
        <v>3</v>
      </c>
      <c r="F897" s="1" t="s">
        <v>4</v>
      </c>
      <c r="G897" s="1" t="s">
        <v>7</v>
      </c>
      <c r="H897" s="1">
        <v>8.01</v>
      </c>
      <c r="I897" s="1">
        <v>0</v>
      </c>
      <c r="J897" s="13">
        <v>26057</v>
      </c>
      <c r="M897">
        <v>23056</v>
      </c>
    </row>
    <row r="898" spans="3:13" x14ac:dyDescent="0.25">
      <c r="C898" s="3">
        <v>893</v>
      </c>
      <c r="D898" s="1">
        <v>47</v>
      </c>
      <c r="E898" s="1" t="s">
        <v>3</v>
      </c>
      <c r="F898" s="1" t="s">
        <v>1</v>
      </c>
      <c r="G898" s="1" t="s">
        <v>5</v>
      </c>
      <c r="H898" s="1">
        <v>12.98</v>
      </c>
      <c r="I898" s="1">
        <v>2</v>
      </c>
      <c r="J898" s="13">
        <v>110507</v>
      </c>
      <c r="M898">
        <v>14234</v>
      </c>
    </row>
    <row r="899" spans="3:13" x14ac:dyDescent="0.25">
      <c r="C899" s="3">
        <v>894</v>
      </c>
      <c r="D899" s="1">
        <v>62</v>
      </c>
      <c r="E899" s="1" t="s">
        <v>3</v>
      </c>
      <c r="F899" s="1" t="s">
        <v>4</v>
      </c>
      <c r="G899" s="1" t="s">
        <v>7</v>
      </c>
      <c r="H899" s="1">
        <v>10.7</v>
      </c>
      <c r="I899" s="1">
        <v>0</v>
      </c>
      <c r="J899" s="13">
        <v>33888</v>
      </c>
      <c r="M899">
        <v>20868</v>
      </c>
    </row>
    <row r="900" spans="3:13" x14ac:dyDescent="0.25">
      <c r="C900" s="3">
        <v>895</v>
      </c>
      <c r="D900" s="1">
        <v>61</v>
      </c>
      <c r="E900" s="1" t="s">
        <v>0</v>
      </c>
      <c r="F900" s="1" t="s">
        <v>4</v>
      </c>
      <c r="G900" s="1" t="s">
        <v>2</v>
      </c>
      <c r="H900" s="1">
        <v>14.67</v>
      </c>
      <c r="I900" s="1">
        <v>0</v>
      </c>
      <c r="J900" s="13">
        <v>32660</v>
      </c>
      <c r="M900">
        <v>47259</v>
      </c>
    </row>
    <row r="901" spans="3:13" x14ac:dyDescent="0.25">
      <c r="C901" s="3">
        <v>896</v>
      </c>
      <c r="D901" s="1">
        <v>43</v>
      </c>
      <c r="E901" s="1" t="s">
        <v>0</v>
      </c>
      <c r="F901" s="1" t="s">
        <v>1</v>
      </c>
      <c r="G901" s="1" t="s">
        <v>7</v>
      </c>
      <c r="H901" s="1">
        <v>6.68</v>
      </c>
      <c r="I901" s="1">
        <v>2</v>
      </c>
      <c r="J901" s="13">
        <v>49495</v>
      </c>
      <c r="M901">
        <v>35637</v>
      </c>
    </row>
    <row r="902" spans="3:13" x14ac:dyDescent="0.25">
      <c r="C902" s="3">
        <v>897</v>
      </c>
      <c r="D902" s="1">
        <v>19</v>
      </c>
      <c r="E902" s="1" t="s">
        <v>3</v>
      </c>
      <c r="F902" s="1" t="s">
        <v>4</v>
      </c>
      <c r="G902" s="1" t="s">
        <v>6</v>
      </c>
      <c r="H902" s="1">
        <v>8.52</v>
      </c>
      <c r="I902" s="1">
        <v>1</v>
      </c>
      <c r="J902" s="13">
        <v>5554</v>
      </c>
      <c r="M902">
        <v>25537</v>
      </c>
    </row>
    <row r="903" spans="3:13" x14ac:dyDescent="0.25">
      <c r="C903" s="3">
        <v>898</v>
      </c>
      <c r="D903" s="1">
        <v>18</v>
      </c>
      <c r="E903" s="1" t="s">
        <v>0</v>
      </c>
      <c r="F903" s="1" t="s">
        <v>4</v>
      </c>
      <c r="G903" s="1" t="s">
        <v>5</v>
      </c>
      <c r="H903" s="1">
        <v>13.42</v>
      </c>
      <c r="I903" s="1">
        <v>0</v>
      </c>
      <c r="J903" s="13">
        <v>4086</v>
      </c>
      <c r="M903">
        <v>14591</v>
      </c>
    </row>
    <row r="904" spans="3:13" x14ac:dyDescent="0.25">
      <c r="C904" s="3">
        <v>899</v>
      </c>
      <c r="D904" s="1">
        <v>19</v>
      </c>
      <c r="E904" s="1" t="s">
        <v>0</v>
      </c>
      <c r="F904" s="1" t="s">
        <v>4</v>
      </c>
      <c r="G904" s="1" t="s">
        <v>6</v>
      </c>
      <c r="H904" s="1">
        <v>7.5</v>
      </c>
      <c r="I904" s="1">
        <v>0</v>
      </c>
      <c r="J904" s="13">
        <v>5293</v>
      </c>
      <c r="M904">
        <v>35896</v>
      </c>
    </row>
    <row r="905" spans="3:13" x14ac:dyDescent="0.25">
      <c r="C905" s="3">
        <v>900</v>
      </c>
      <c r="D905" s="1">
        <v>49</v>
      </c>
      <c r="E905" s="1" t="s">
        <v>3</v>
      </c>
      <c r="F905" s="1" t="s">
        <v>4</v>
      </c>
      <c r="G905" s="1" t="s">
        <v>7</v>
      </c>
      <c r="H905" s="1">
        <v>7.5</v>
      </c>
      <c r="I905" s="1">
        <v>0</v>
      </c>
      <c r="J905" s="13">
        <v>21722</v>
      </c>
      <c r="M905">
        <v>4322</v>
      </c>
    </row>
    <row r="906" spans="3:13" x14ac:dyDescent="0.25">
      <c r="C906" s="3">
        <v>901</v>
      </c>
      <c r="D906" s="1">
        <v>60</v>
      </c>
      <c r="E906" s="1" t="s">
        <v>3</v>
      </c>
      <c r="F906" s="1" t="s">
        <v>1</v>
      </c>
      <c r="G906" s="1" t="s">
        <v>5</v>
      </c>
      <c r="H906" s="1">
        <v>13.64</v>
      </c>
      <c r="I906" s="1">
        <v>0</v>
      </c>
      <c r="J906" s="13">
        <v>121684</v>
      </c>
      <c r="M906">
        <v>21456</v>
      </c>
    </row>
    <row r="907" spans="3:13" x14ac:dyDescent="0.25">
      <c r="C907" s="3">
        <v>902</v>
      </c>
      <c r="D907" s="1">
        <v>26</v>
      </c>
      <c r="E907" s="1" t="s">
        <v>3</v>
      </c>
      <c r="F907" s="1" t="s">
        <v>4</v>
      </c>
      <c r="G907" s="1" t="s">
        <v>7</v>
      </c>
      <c r="H907" s="1">
        <v>9.09</v>
      </c>
      <c r="I907" s="1">
        <v>3</v>
      </c>
      <c r="J907" s="13">
        <v>11653</v>
      </c>
      <c r="M907">
        <v>9234</v>
      </c>
    </row>
    <row r="908" spans="3:13" x14ac:dyDescent="0.25">
      <c r="C908" s="3">
        <v>903</v>
      </c>
      <c r="D908" s="1">
        <v>49</v>
      </c>
      <c r="E908" s="1" t="s">
        <v>3</v>
      </c>
      <c r="F908" s="1" t="s">
        <v>4</v>
      </c>
      <c r="G908" s="1" t="s">
        <v>5</v>
      </c>
      <c r="H908" s="1">
        <v>12.28</v>
      </c>
      <c r="I908" s="1">
        <v>0</v>
      </c>
      <c r="J908" s="13">
        <v>20314</v>
      </c>
      <c r="M908">
        <v>51773</v>
      </c>
    </row>
    <row r="909" spans="3:13" x14ac:dyDescent="0.25">
      <c r="C909" s="3">
        <v>904</v>
      </c>
      <c r="D909" s="1">
        <v>60</v>
      </c>
      <c r="E909" s="1" t="s">
        <v>0</v>
      </c>
      <c r="F909" s="1" t="s">
        <v>4</v>
      </c>
      <c r="G909" s="1" t="s">
        <v>2</v>
      </c>
      <c r="H909" s="1">
        <v>11.7</v>
      </c>
      <c r="I909" s="1">
        <v>0</v>
      </c>
      <c r="J909" s="13">
        <v>31611</v>
      </c>
      <c r="M909">
        <v>24978</v>
      </c>
    </row>
    <row r="910" spans="3:13" x14ac:dyDescent="0.25">
      <c r="C910" s="3">
        <v>905</v>
      </c>
      <c r="D910" s="1">
        <v>26</v>
      </c>
      <c r="E910" s="1" t="s">
        <v>0</v>
      </c>
      <c r="F910" s="1" t="s">
        <v>4</v>
      </c>
      <c r="G910" s="1" t="s">
        <v>7</v>
      </c>
      <c r="H910" s="1">
        <v>9.7799999999999994</v>
      </c>
      <c r="I910" s="1">
        <v>2</v>
      </c>
      <c r="J910" s="13">
        <v>11410</v>
      </c>
      <c r="M910">
        <v>49183</v>
      </c>
    </row>
    <row r="911" spans="3:13" x14ac:dyDescent="0.25">
      <c r="C911" s="3">
        <v>906</v>
      </c>
      <c r="D911" s="1">
        <v>27</v>
      </c>
      <c r="E911" s="1" t="s">
        <v>3</v>
      </c>
      <c r="F911" s="1" t="s">
        <v>4</v>
      </c>
      <c r="G911" s="1" t="s">
        <v>7</v>
      </c>
      <c r="H911" s="1">
        <v>10.86</v>
      </c>
      <c r="I911" s="1">
        <v>3</v>
      </c>
      <c r="J911" s="13">
        <v>12117</v>
      </c>
      <c r="M911">
        <v>27714</v>
      </c>
    </row>
    <row r="912" spans="3:13" x14ac:dyDescent="0.25">
      <c r="C912" s="3">
        <v>907</v>
      </c>
      <c r="D912" s="1">
        <v>44</v>
      </c>
      <c r="E912" s="1" t="s">
        <v>0</v>
      </c>
      <c r="F912" s="1" t="s">
        <v>4</v>
      </c>
      <c r="G912" s="1" t="s">
        <v>5</v>
      </c>
      <c r="H912" s="1">
        <v>10.78</v>
      </c>
      <c r="I912" s="1">
        <v>1</v>
      </c>
      <c r="J912" s="13">
        <v>19084</v>
      </c>
      <c r="M912">
        <v>19059</v>
      </c>
    </row>
    <row r="913" spans="3:13" x14ac:dyDescent="0.25">
      <c r="C913" s="3">
        <v>908</v>
      </c>
      <c r="D913" s="1">
        <v>63</v>
      </c>
      <c r="E913" s="1" t="s">
        <v>3</v>
      </c>
      <c r="F913" s="1" t="s">
        <v>4</v>
      </c>
      <c r="G913" s="1" t="s">
        <v>2</v>
      </c>
      <c r="H913" s="1">
        <v>13.27</v>
      </c>
      <c r="I913" s="1">
        <v>3</v>
      </c>
      <c r="J913" s="13">
        <v>37925</v>
      </c>
      <c r="M913">
        <v>7941</v>
      </c>
    </row>
    <row r="914" spans="3:13" x14ac:dyDescent="0.25">
      <c r="C914" s="3">
        <v>909</v>
      </c>
      <c r="D914" s="1">
        <v>32</v>
      </c>
      <c r="E914" s="1" t="s">
        <v>0</v>
      </c>
      <c r="F914" s="1" t="s">
        <v>1</v>
      </c>
      <c r="G914" s="1" t="s">
        <v>2</v>
      </c>
      <c r="H914" s="1">
        <v>8.1999999999999993</v>
      </c>
      <c r="I914" s="1">
        <v>0</v>
      </c>
      <c r="J914" s="13">
        <v>43741</v>
      </c>
      <c r="M914">
        <v>9261</v>
      </c>
    </row>
    <row r="915" spans="3:13" x14ac:dyDescent="0.25">
      <c r="C915" s="3">
        <v>910</v>
      </c>
      <c r="D915" s="1">
        <v>22</v>
      </c>
      <c r="E915" s="1" t="s">
        <v>3</v>
      </c>
      <c r="F915" s="1" t="s">
        <v>4</v>
      </c>
      <c r="G915" s="1" t="s">
        <v>6</v>
      </c>
      <c r="H915" s="1">
        <v>9.44</v>
      </c>
      <c r="I915" s="1">
        <v>1</v>
      </c>
      <c r="J915" s="13">
        <v>6598</v>
      </c>
      <c r="M915">
        <v>22620</v>
      </c>
    </row>
    <row r="916" spans="3:13" x14ac:dyDescent="0.25">
      <c r="C916" s="3">
        <v>911</v>
      </c>
      <c r="D916" s="1">
        <v>18</v>
      </c>
      <c r="E916" s="1" t="s">
        <v>3</v>
      </c>
      <c r="F916" s="1" t="s">
        <v>1</v>
      </c>
      <c r="G916" s="1" t="s">
        <v>7</v>
      </c>
      <c r="H916" s="1">
        <v>10.58</v>
      </c>
      <c r="I916" s="1">
        <v>0</v>
      </c>
      <c r="J916" s="13">
        <v>84332</v>
      </c>
      <c r="M916">
        <v>19886</v>
      </c>
    </row>
    <row r="917" spans="3:13" x14ac:dyDescent="0.25">
      <c r="C917" s="3">
        <v>912</v>
      </c>
      <c r="D917" s="1">
        <v>59</v>
      </c>
      <c r="E917" s="1" t="s">
        <v>0</v>
      </c>
      <c r="F917" s="1" t="s">
        <v>4</v>
      </c>
      <c r="G917" s="1" t="s">
        <v>6</v>
      </c>
      <c r="H917" s="1">
        <v>8.9</v>
      </c>
      <c r="I917" s="1">
        <v>3</v>
      </c>
      <c r="J917" s="13">
        <v>35957</v>
      </c>
      <c r="M917">
        <v>67795</v>
      </c>
    </row>
    <row r="918" spans="3:13" x14ac:dyDescent="0.25">
      <c r="C918" s="3">
        <v>913</v>
      </c>
      <c r="D918" s="1">
        <v>44</v>
      </c>
      <c r="E918" s="1" t="s">
        <v>0</v>
      </c>
      <c r="F918" s="1" t="s">
        <v>4</v>
      </c>
      <c r="G918" s="1" t="s">
        <v>2</v>
      </c>
      <c r="H918" s="1">
        <v>9.17</v>
      </c>
      <c r="I918" s="1">
        <v>1</v>
      </c>
      <c r="J918" s="13">
        <v>19067</v>
      </c>
      <c r="M918">
        <v>15845</v>
      </c>
    </row>
    <row r="919" spans="3:13" x14ac:dyDescent="0.25">
      <c r="C919" s="3">
        <v>914</v>
      </c>
      <c r="D919" s="1">
        <v>33</v>
      </c>
      <c r="E919" s="1" t="s">
        <v>3</v>
      </c>
      <c r="F919" s="1" t="s">
        <v>4</v>
      </c>
      <c r="G919" s="1" t="s">
        <v>6</v>
      </c>
      <c r="H919" s="1">
        <v>8.1999999999999993</v>
      </c>
      <c r="I919" s="1">
        <v>2</v>
      </c>
      <c r="J919" s="13">
        <v>13144</v>
      </c>
      <c r="M919">
        <v>24076</v>
      </c>
    </row>
    <row r="920" spans="3:13" x14ac:dyDescent="0.25">
      <c r="C920" s="3">
        <v>915</v>
      </c>
      <c r="D920" s="1">
        <v>24</v>
      </c>
      <c r="E920" s="1" t="s">
        <v>0</v>
      </c>
      <c r="F920" s="1" t="s">
        <v>4</v>
      </c>
      <c r="G920" s="1" t="s">
        <v>5</v>
      </c>
      <c r="H920" s="1">
        <v>11.33</v>
      </c>
      <c r="I920" s="1">
        <v>0</v>
      </c>
      <c r="J920" s="13">
        <v>6183</v>
      </c>
      <c r="M920">
        <v>28223</v>
      </c>
    </row>
    <row r="921" spans="3:13" x14ac:dyDescent="0.25">
      <c r="C921" s="3">
        <v>916</v>
      </c>
      <c r="D921" s="1">
        <v>43</v>
      </c>
      <c r="E921" s="1" t="s">
        <v>0</v>
      </c>
      <c r="F921" s="1" t="s">
        <v>1</v>
      </c>
      <c r="G921" s="1" t="s">
        <v>6</v>
      </c>
      <c r="H921" s="1">
        <v>8.9600000000000009</v>
      </c>
      <c r="I921" s="1">
        <v>0</v>
      </c>
      <c r="J921" s="13">
        <v>54436</v>
      </c>
      <c r="M921">
        <v>5654</v>
      </c>
    </row>
    <row r="922" spans="3:13" x14ac:dyDescent="0.25">
      <c r="C922" s="3">
        <v>917</v>
      </c>
      <c r="D922" s="1">
        <v>45</v>
      </c>
      <c r="E922" s="1" t="s">
        <v>3</v>
      </c>
      <c r="F922" s="1" t="s">
        <v>1</v>
      </c>
      <c r="G922" s="1" t="s">
        <v>7</v>
      </c>
      <c r="H922" s="1">
        <v>7.63</v>
      </c>
      <c r="I922" s="1">
        <v>0</v>
      </c>
      <c r="J922" s="13">
        <v>87673</v>
      </c>
      <c r="M922">
        <v>26980</v>
      </c>
    </row>
    <row r="923" spans="3:13" x14ac:dyDescent="0.25">
      <c r="C923" s="3">
        <v>918</v>
      </c>
      <c r="D923" s="1">
        <v>61</v>
      </c>
      <c r="E923" s="1" t="s">
        <v>0</v>
      </c>
      <c r="F923" s="1" t="s">
        <v>4</v>
      </c>
      <c r="G923" s="1" t="s">
        <v>2</v>
      </c>
      <c r="H923" s="1">
        <v>9.4</v>
      </c>
      <c r="I923" s="1">
        <v>0</v>
      </c>
      <c r="J923" s="13">
        <v>32605</v>
      </c>
      <c r="M923">
        <v>14949</v>
      </c>
    </row>
    <row r="924" spans="3:13" x14ac:dyDescent="0.25">
      <c r="C924" s="3">
        <v>919</v>
      </c>
      <c r="D924" s="1">
        <v>35</v>
      </c>
      <c r="E924" s="1" t="s">
        <v>0</v>
      </c>
      <c r="F924" s="1" t="s">
        <v>4</v>
      </c>
      <c r="G924" s="1" t="s">
        <v>5</v>
      </c>
      <c r="H924" s="1">
        <v>11.4</v>
      </c>
      <c r="I924" s="1">
        <v>1</v>
      </c>
      <c r="J924" s="13">
        <v>13113</v>
      </c>
      <c r="M924">
        <v>5509</v>
      </c>
    </row>
    <row r="925" spans="3:13" x14ac:dyDescent="0.25">
      <c r="C925" s="3">
        <v>920</v>
      </c>
      <c r="D925" s="1">
        <v>62</v>
      </c>
      <c r="E925" s="1" t="s">
        <v>0</v>
      </c>
      <c r="F925" s="1" t="s">
        <v>4</v>
      </c>
      <c r="G925" s="1" t="s">
        <v>2</v>
      </c>
      <c r="H925" s="1">
        <v>8.33</v>
      </c>
      <c r="I925" s="1">
        <v>0</v>
      </c>
      <c r="J925" s="13">
        <v>33628</v>
      </c>
      <c r="M925">
        <v>30590</v>
      </c>
    </row>
    <row r="926" spans="3:13" x14ac:dyDescent="0.25">
      <c r="C926" s="3">
        <v>921</v>
      </c>
      <c r="D926" s="1">
        <v>62</v>
      </c>
      <c r="E926" s="1" t="s">
        <v>0</v>
      </c>
      <c r="F926" s="1" t="s">
        <v>4</v>
      </c>
      <c r="G926" s="1" t="s">
        <v>2</v>
      </c>
      <c r="H926" s="1">
        <v>11.07</v>
      </c>
      <c r="I926" s="1">
        <v>0</v>
      </c>
      <c r="J926" s="13">
        <v>33656</v>
      </c>
      <c r="M926">
        <v>14076</v>
      </c>
    </row>
    <row r="927" spans="3:13" x14ac:dyDescent="0.25">
      <c r="C927" s="3">
        <v>922</v>
      </c>
      <c r="D927" s="1">
        <v>38</v>
      </c>
      <c r="E927" s="1" t="s">
        <v>3</v>
      </c>
      <c r="F927" s="1" t="s">
        <v>4</v>
      </c>
      <c r="G927" s="1" t="s">
        <v>2</v>
      </c>
      <c r="H927" s="1">
        <v>10.33</v>
      </c>
      <c r="I927" s="1">
        <v>1</v>
      </c>
      <c r="J927" s="13">
        <v>13721</v>
      </c>
      <c r="M927">
        <v>27538</v>
      </c>
    </row>
    <row r="928" spans="3:13" x14ac:dyDescent="0.25">
      <c r="C928" s="3">
        <v>923</v>
      </c>
      <c r="D928" s="1">
        <v>34</v>
      </c>
      <c r="E928" s="1" t="s">
        <v>3</v>
      </c>
      <c r="F928" s="1" t="s">
        <v>4</v>
      </c>
      <c r="G928" s="1" t="s">
        <v>6</v>
      </c>
      <c r="H928" s="1">
        <v>11.94</v>
      </c>
      <c r="I928" s="1">
        <v>0</v>
      </c>
      <c r="J928" s="13">
        <v>10801</v>
      </c>
      <c r="M928">
        <v>18071</v>
      </c>
    </row>
    <row r="929" spans="3:13" x14ac:dyDescent="0.25">
      <c r="C929" s="3">
        <v>924</v>
      </c>
      <c r="D929" s="1">
        <v>43</v>
      </c>
      <c r="E929" s="1" t="s">
        <v>3</v>
      </c>
      <c r="F929" s="1" t="s">
        <v>4</v>
      </c>
      <c r="G929" s="1" t="s">
        <v>2</v>
      </c>
      <c r="H929" s="1">
        <v>7.73</v>
      </c>
      <c r="I929" s="1">
        <v>0</v>
      </c>
      <c r="J929" s="13">
        <v>15626</v>
      </c>
      <c r="M929">
        <v>36065</v>
      </c>
    </row>
    <row r="930" spans="3:13" x14ac:dyDescent="0.25">
      <c r="C930" s="3">
        <v>925</v>
      </c>
      <c r="D930" s="1">
        <v>50</v>
      </c>
      <c r="E930" s="1" t="s">
        <v>3</v>
      </c>
      <c r="F930" s="1" t="s">
        <v>4</v>
      </c>
      <c r="G930" s="1" t="s">
        <v>7</v>
      </c>
      <c r="H930" s="1">
        <v>10.7</v>
      </c>
      <c r="I930" s="1">
        <v>2</v>
      </c>
      <c r="J930" s="13">
        <v>63333</v>
      </c>
      <c r="M930">
        <v>6149</v>
      </c>
    </row>
    <row r="931" spans="3:13" x14ac:dyDescent="0.25">
      <c r="C931" s="3">
        <v>926</v>
      </c>
      <c r="D931" s="1">
        <v>19</v>
      </c>
      <c r="E931" s="1" t="s">
        <v>0</v>
      </c>
      <c r="F931" s="1" t="s">
        <v>4</v>
      </c>
      <c r="G931" s="1" t="s">
        <v>2</v>
      </c>
      <c r="H931" s="1">
        <v>7.8</v>
      </c>
      <c r="I931" s="1">
        <v>2</v>
      </c>
      <c r="J931" s="13">
        <v>7284</v>
      </c>
      <c r="M931">
        <v>9975</v>
      </c>
    </row>
    <row r="932" spans="3:13" x14ac:dyDescent="0.25">
      <c r="C932" s="3">
        <v>927</v>
      </c>
      <c r="D932" s="1">
        <v>57</v>
      </c>
      <c r="E932" s="1" t="s">
        <v>0</v>
      </c>
      <c r="F932" s="1" t="s">
        <v>4</v>
      </c>
      <c r="G932" s="1" t="s">
        <v>2</v>
      </c>
      <c r="H932" s="1">
        <v>6.7</v>
      </c>
      <c r="I932" s="1">
        <v>1</v>
      </c>
      <c r="J932" s="13">
        <v>30081</v>
      </c>
      <c r="M932">
        <v>19318</v>
      </c>
    </row>
    <row r="933" spans="3:13" x14ac:dyDescent="0.25">
      <c r="C933" s="3">
        <v>928</v>
      </c>
      <c r="D933" s="1">
        <v>62</v>
      </c>
      <c r="E933" s="1" t="s">
        <v>0</v>
      </c>
      <c r="F933" s="1" t="s">
        <v>4</v>
      </c>
      <c r="G933" s="1" t="s">
        <v>5</v>
      </c>
      <c r="H933" s="1">
        <v>13.05</v>
      </c>
      <c r="I933" s="1">
        <v>0</v>
      </c>
      <c r="J933" s="13">
        <v>33677</v>
      </c>
      <c r="M933">
        <v>12810</v>
      </c>
    </row>
    <row r="934" spans="3:13" x14ac:dyDescent="0.25">
      <c r="C934" s="3">
        <v>929</v>
      </c>
      <c r="D934" s="1">
        <v>41</v>
      </c>
      <c r="E934" s="1" t="s">
        <v>3</v>
      </c>
      <c r="F934" s="1" t="s">
        <v>4</v>
      </c>
      <c r="G934" s="1" t="s">
        <v>5</v>
      </c>
      <c r="H934" s="1">
        <v>11.4</v>
      </c>
      <c r="I934" s="1">
        <v>1</v>
      </c>
      <c r="J934" s="13">
        <v>15724</v>
      </c>
      <c r="M934">
        <v>47408</v>
      </c>
    </row>
    <row r="935" spans="3:13" x14ac:dyDescent="0.25">
      <c r="C935" s="3">
        <v>930</v>
      </c>
      <c r="D935" s="1">
        <v>26</v>
      </c>
      <c r="E935" s="1" t="s">
        <v>3</v>
      </c>
      <c r="F935" s="1" t="s">
        <v>4</v>
      </c>
      <c r="G935" s="1" t="s">
        <v>5</v>
      </c>
      <c r="H935" s="1">
        <v>15.51</v>
      </c>
      <c r="I935" s="1">
        <v>1</v>
      </c>
      <c r="J935" s="13">
        <v>7318</v>
      </c>
      <c r="M935">
        <v>5502</v>
      </c>
    </row>
    <row r="936" spans="3:13" x14ac:dyDescent="0.25">
      <c r="C936" s="3">
        <v>931</v>
      </c>
      <c r="D936" s="1">
        <v>39</v>
      </c>
      <c r="E936" s="1" t="s">
        <v>0</v>
      </c>
      <c r="F936" s="1" t="s">
        <v>4</v>
      </c>
      <c r="G936" s="1" t="s">
        <v>2</v>
      </c>
      <c r="H936" s="1">
        <v>10.83</v>
      </c>
      <c r="I936" s="1">
        <v>1</v>
      </c>
      <c r="J936" s="13">
        <v>15596</v>
      </c>
      <c r="M936">
        <v>17884</v>
      </c>
    </row>
    <row r="937" spans="3:13" x14ac:dyDescent="0.25">
      <c r="C937" s="3">
        <v>932</v>
      </c>
      <c r="D937" s="1">
        <v>46</v>
      </c>
      <c r="E937" s="1" t="s">
        <v>3</v>
      </c>
      <c r="F937" s="1" t="s">
        <v>4</v>
      </c>
      <c r="G937" s="1" t="s">
        <v>2</v>
      </c>
      <c r="H937" s="1">
        <v>8.6</v>
      </c>
      <c r="I937" s="1">
        <v>5</v>
      </c>
      <c r="J937" s="13">
        <v>25242</v>
      </c>
      <c r="M937">
        <v>13070</v>
      </c>
    </row>
    <row r="938" spans="3:13" x14ac:dyDescent="0.25">
      <c r="C938" s="3">
        <v>933</v>
      </c>
      <c r="D938" s="1">
        <v>45</v>
      </c>
      <c r="E938" s="1" t="s">
        <v>0</v>
      </c>
      <c r="F938" s="1" t="s">
        <v>4</v>
      </c>
      <c r="G938" s="1" t="s">
        <v>2</v>
      </c>
      <c r="H938" s="1">
        <v>11.77</v>
      </c>
      <c r="I938" s="1">
        <v>0</v>
      </c>
      <c r="J938" s="13">
        <v>18370</v>
      </c>
      <c r="M938">
        <v>27456</v>
      </c>
    </row>
    <row r="939" spans="3:13" x14ac:dyDescent="0.25">
      <c r="C939" s="3">
        <v>934</v>
      </c>
      <c r="D939" s="1">
        <v>32</v>
      </c>
      <c r="E939" s="1" t="s">
        <v>3</v>
      </c>
      <c r="F939" s="1" t="s">
        <v>4</v>
      </c>
      <c r="G939" s="1" t="s">
        <v>5</v>
      </c>
      <c r="H939" s="1">
        <v>12.39</v>
      </c>
      <c r="I939" s="1">
        <v>2</v>
      </c>
      <c r="J939" s="13">
        <v>11683</v>
      </c>
      <c r="M939">
        <v>11324</v>
      </c>
    </row>
    <row r="940" spans="3:13" x14ac:dyDescent="0.25">
      <c r="C940" s="3">
        <v>935</v>
      </c>
      <c r="D940" s="1">
        <v>59</v>
      </c>
      <c r="E940" s="1" t="s">
        <v>0</v>
      </c>
      <c r="F940" s="1" t="s">
        <v>4</v>
      </c>
      <c r="G940" s="1" t="s">
        <v>2</v>
      </c>
      <c r="H940" s="1">
        <v>9.17</v>
      </c>
      <c r="I940" s="1">
        <v>0</v>
      </c>
      <c r="J940" s="13">
        <v>30585</v>
      </c>
      <c r="M940">
        <v>11677</v>
      </c>
    </row>
    <row r="941" spans="3:13" x14ac:dyDescent="0.25">
      <c r="C941" s="3">
        <v>936</v>
      </c>
      <c r="D941" s="1">
        <v>44</v>
      </c>
      <c r="E941" s="1" t="s">
        <v>3</v>
      </c>
      <c r="F941" s="1" t="s">
        <v>4</v>
      </c>
      <c r="G941" s="1" t="s">
        <v>7</v>
      </c>
      <c r="H941" s="1">
        <v>9.91</v>
      </c>
      <c r="I941" s="1">
        <v>2</v>
      </c>
      <c r="J941" s="13">
        <v>80272</v>
      </c>
      <c r="M941">
        <v>15281</v>
      </c>
    </row>
    <row r="942" spans="3:13" x14ac:dyDescent="0.25">
      <c r="C942" s="3">
        <v>937</v>
      </c>
      <c r="D942" s="1">
        <v>39</v>
      </c>
      <c r="E942" s="1" t="s">
        <v>0</v>
      </c>
      <c r="F942" s="1" t="s">
        <v>4</v>
      </c>
      <c r="G942" s="1" t="s">
        <v>6</v>
      </c>
      <c r="H942" s="1">
        <v>8.08</v>
      </c>
      <c r="I942" s="1">
        <v>5</v>
      </c>
      <c r="J942" s="13">
        <v>22414</v>
      </c>
      <c r="M942">
        <v>27734</v>
      </c>
    </row>
    <row r="943" spans="3:13" x14ac:dyDescent="0.25">
      <c r="C943" s="3">
        <v>938</v>
      </c>
      <c r="D943" s="1">
        <v>18</v>
      </c>
      <c r="E943" s="1" t="s">
        <v>3</v>
      </c>
      <c r="F943" s="1" t="s">
        <v>4</v>
      </c>
      <c r="G943" s="1" t="s">
        <v>5</v>
      </c>
      <c r="H943" s="1">
        <v>8.73</v>
      </c>
      <c r="I943" s="1">
        <v>2</v>
      </c>
      <c r="J943" s="13">
        <v>5760</v>
      </c>
      <c r="M943">
        <v>16145</v>
      </c>
    </row>
    <row r="944" spans="3:13" x14ac:dyDescent="0.25">
      <c r="C944" s="3">
        <v>939</v>
      </c>
      <c r="D944" s="1">
        <v>53</v>
      </c>
      <c r="E944" s="1" t="s">
        <v>3</v>
      </c>
      <c r="F944" s="1" t="s">
        <v>4</v>
      </c>
      <c r="G944" s="1" t="s">
        <v>5</v>
      </c>
      <c r="H944" s="1">
        <v>9.83</v>
      </c>
      <c r="I944" s="1">
        <v>0</v>
      </c>
      <c r="J944" s="13">
        <v>23719</v>
      </c>
      <c r="M944">
        <v>11085</v>
      </c>
    </row>
    <row r="945" spans="3:13" x14ac:dyDescent="0.25">
      <c r="C945" s="3">
        <v>940</v>
      </c>
      <c r="D945" s="1">
        <v>18</v>
      </c>
      <c r="E945" s="1" t="s">
        <v>3</v>
      </c>
      <c r="F945" s="1" t="s">
        <v>4</v>
      </c>
      <c r="G945" s="1" t="s">
        <v>5</v>
      </c>
      <c r="H945" s="1">
        <v>7.74</v>
      </c>
      <c r="I945" s="1">
        <v>0</v>
      </c>
      <c r="J945" s="13">
        <v>2805</v>
      </c>
      <c r="M945">
        <v>5386</v>
      </c>
    </row>
    <row r="946" spans="3:13" x14ac:dyDescent="0.25">
      <c r="C946" s="3">
        <v>941</v>
      </c>
      <c r="D946" s="1">
        <v>50</v>
      </c>
      <c r="E946" s="1" t="s">
        <v>0</v>
      </c>
      <c r="F946" s="1" t="s">
        <v>4</v>
      </c>
      <c r="G946" s="1" t="s">
        <v>5</v>
      </c>
      <c r="H946" s="1">
        <v>15.36</v>
      </c>
      <c r="I946" s="1">
        <v>1</v>
      </c>
      <c r="J946" s="13">
        <v>23874</v>
      </c>
      <c r="M946">
        <v>16242</v>
      </c>
    </row>
    <row r="947" spans="3:13" x14ac:dyDescent="0.25">
      <c r="C947" s="3">
        <v>942</v>
      </c>
      <c r="D947" s="1">
        <v>18</v>
      </c>
      <c r="E947" s="1" t="s">
        <v>0</v>
      </c>
      <c r="F947" s="1" t="s">
        <v>4</v>
      </c>
      <c r="G947" s="1" t="s">
        <v>7</v>
      </c>
      <c r="H947" s="1">
        <v>13.4</v>
      </c>
      <c r="I947" s="1">
        <v>0</v>
      </c>
      <c r="J947" s="13">
        <v>5544</v>
      </c>
      <c r="M947">
        <v>7249</v>
      </c>
    </row>
    <row r="948" spans="3:13" x14ac:dyDescent="0.25">
      <c r="C948" s="3">
        <v>943</v>
      </c>
      <c r="D948" s="1">
        <v>19</v>
      </c>
      <c r="E948" s="1" t="s">
        <v>3</v>
      </c>
      <c r="F948" s="1" t="s">
        <v>4</v>
      </c>
      <c r="G948" s="1" t="s">
        <v>6</v>
      </c>
      <c r="H948" s="1">
        <v>7.54</v>
      </c>
      <c r="I948" s="1">
        <v>0</v>
      </c>
      <c r="J948" s="13">
        <v>4071</v>
      </c>
      <c r="M948">
        <v>19127</v>
      </c>
    </row>
    <row r="949" spans="3:13" x14ac:dyDescent="0.25">
      <c r="C949" s="3">
        <v>944</v>
      </c>
      <c r="D949" s="1">
        <v>62</v>
      </c>
      <c r="E949" s="1" t="s">
        <v>3</v>
      </c>
      <c r="F949" s="1" t="s">
        <v>4</v>
      </c>
      <c r="G949" s="1" t="s">
        <v>5</v>
      </c>
      <c r="H949" s="1">
        <v>13.31</v>
      </c>
      <c r="I949" s="1">
        <v>0</v>
      </c>
      <c r="J949" s="13">
        <v>32457</v>
      </c>
      <c r="M949">
        <v>7127</v>
      </c>
    </row>
    <row r="950" spans="3:13" x14ac:dyDescent="0.25">
      <c r="C950" s="3">
        <v>945</v>
      </c>
      <c r="D950" s="1">
        <v>56</v>
      </c>
      <c r="E950" s="1" t="s">
        <v>0</v>
      </c>
      <c r="F950" s="1" t="s">
        <v>4</v>
      </c>
      <c r="G950" s="1" t="s">
        <v>2</v>
      </c>
      <c r="H950" s="1">
        <v>11.93</v>
      </c>
      <c r="I950" s="1">
        <v>1</v>
      </c>
      <c r="J950" s="13">
        <v>29185</v>
      </c>
      <c r="M950">
        <v>6582</v>
      </c>
    </row>
    <row r="951" spans="3:13" x14ac:dyDescent="0.25">
      <c r="C951" s="3">
        <v>946</v>
      </c>
      <c r="D951" s="1">
        <v>42</v>
      </c>
      <c r="E951" s="1" t="s">
        <v>3</v>
      </c>
      <c r="F951" s="1" t="s">
        <v>4</v>
      </c>
      <c r="G951" s="1" t="s">
        <v>2</v>
      </c>
      <c r="H951" s="1">
        <v>11.93</v>
      </c>
      <c r="I951" s="1">
        <v>2</v>
      </c>
      <c r="J951" s="13">
        <v>17900</v>
      </c>
      <c r="M951">
        <v>23618</v>
      </c>
    </row>
    <row r="952" spans="3:13" x14ac:dyDescent="0.25">
      <c r="C952" s="3">
        <v>947</v>
      </c>
      <c r="D952" s="1">
        <v>37</v>
      </c>
      <c r="E952" s="1" t="s">
        <v>3</v>
      </c>
      <c r="F952" s="1" t="s">
        <v>1</v>
      </c>
      <c r="G952" s="1" t="s">
        <v>7</v>
      </c>
      <c r="H952" s="1">
        <v>11.4</v>
      </c>
      <c r="I952" s="1">
        <v>1</v>
      </c>
      <c r="J952" s="13">
        <v>97618</v>
      </c>
      <c r="M952">
        <v>21510</v>
      </c>
    </row>
    <row r="953" spans="3:13" x14ac:dyDescent="0.25">
      <c r="C953" s="3">
        <v>948</v>
      </c>
      <c r="D953" s="1">
        <v>42</v>
      </c>
      <c r="E953" s="1" t="s">
        <v>3</v>
      </c>
      <c r="F953" s="1" t="s">
        <v>4</v>
      </c>
      <c r="G953" s="1" t="s">
        <v>6</v>
      </c>
      <c r="H953" s="1">
        <v>10.42</v>
      </c>
      <c r="I953" s="1">
        <v>0</v>
      </c>
      <c r="J953" s="13">
        <v>15897</v>
      </c>
      <c r="M953">
        <v>34612</v>
      </c>
    </row>
    <row r="954" spans="3:13" x14ac:dyDescent="0.25">
      <c r="C954" s="3">
        <v>949</v>
      </c>
      <c r="D954" s="1">
        <v>25</v>
      </c>
      <c r="E954" s="1" t="s">
        <v>3</v>
      </c>
      <c r="F954" s="1" t="s">
        <v>1</v>
      </c>
      <c r="G954" s="1" t="s">
        <v>2</v>
      </c>
      <c r="H954" s="1">
        <v>9.9</v>
      </c>
      <c r="I954" s="1">
        <v>3</v>
      </c>
      <c r="J954" s="13">
        <v>49834</v>
      </c>
      <c r="M954">
        <v>32817</v>
      </c>
    </row>
    <row r="955" spans="3:13" x14ac:dyDescent="0.25">
      <c r="C955" s="3">
        <v>950</v>
      </c>
      <c r="D955" s="1">
        <v>57</v>
      </c>
      <c r="E955" s="1" t="s">
        <v>3</v>
      </c>
      <c r="F955" s="1" t="s">
        <v>4</v>
      </c>
      <c r="G955" s="1" t="s">
        <v>7</v>
      </c>
      <c r="H955" s="1">
        <v>6.11</v>
      </c>
      <c r="I955" s="1">
        <v>0</v>
      </c>
      <c r="J955" s="13">
        <v>28837</v>
      </c>
      <c r="M955">
        <v>13319</v>
      </c>
    </row>
    <row r="956" spans="3:13" x14ac:dyDescent="0.25">
      <c r="C956" s="3">
        <v>951</v>
      </c>
      <c r="D956" s="1">
        <v>51</v>
      </c>
      <c r="E956" s="1" t="s">
        <v>3</v>
      </c>
      <c r="F956" s="1" t="s">
        <v>1</v>
      </c>
      <c r="G956" s="1" t="s">
        <v>5</v>
      </c>
      <c r="H956" s="1">
        <v>14.3</v>
      </c>
      <c r="I956" s="1">
        <v>2</v>
      </c>
      <c r="J956" s="13">
        <v>118657</v>
      </c>
      <c r="M956">
        <v>34314</v>
      </c>
    </row>
    <row r="957" spans="3:13" x14ac:dyDescent="0.25">
      <c r="C957" s="3">
        <v>952</v>
      </c>
      <c r="D957" s="1">
        <v>30</v>
      </c>
      <c r="E957" s="1" t="s">
        <v>0</v>
      </c>
      <c r="F957" s="1" t="s">
        <v>4</v>
      </c>
      <c r="G957" s="1" t="s">
        <v>6</v>
      </c>
      <c r="H957" s="1">
        <v>9.4700000000000006</v>
      </c>
      <c r="I957" s="1">
        <v>1</v>
      </c>
      <c r="J957" s="13">
        <v>11318</v>
      </c>
      <c r="M957">
        <v>32548</v>
      </c>
    </row>
    <row r="958" spans="3:13" x14ac:dyDescent="0.25">
      <c r="C958" s="3">
        <v>953</v>
      </c>
      <c r="D958" s="1">
        <v>44</v>
      </c>
      <c r="E958" s="1" t="s">
        <v>3</v>
      </c>
      <c r="F958" s="1" t="s">
        <v>1</v>
      </c>
      <c r="G958" s="1" t="s">
        <v>2</v>
      </c>
      <c r="H958" s="1">
        <v>10.07</v>
      </c>
      <c r="I958" s="1">
        <v>2</v>
      </c>
      <c r="J958" s="13">
        <v>97496</v>
      </c>
      <c r="M958">
        <v>21678</v>
      </c>
    </row>
    <row r="959" spans="3:13" x14ac:dyDescent="0.25">
      <c r="C959" s="3">
        <v>954</v>
      </c>
      <c r="D959" s="1">
        <v>34</v>
      </c>
      <c r="E959" s="1" t="s">
        <v>3</v>
      </c>
      <c r="F959" s="1" t="s">
        <v>1</v>
      </c>
      <c r="G959" s="1" t="s">
        <v>6</v>
      </c>
      <c r="H959" s="1">
        <v>9.2799999999999994</v>
      </c>
      <c r="I959" s="1">
        <v>1</v>
      </c>
      <c r="J959" s="13">
        <v>50024</v>
      </c>
      <c r="M959">
        <v>10335</v>
      </c>
    </row>
    <row r="960" spans="3:13" x14ac:dyDescent="0.25">
      <c r="C960" s="3">
        <v>955</v>
      </c>
      <c r="D960" s="1">
        <v>31</v>
      </c>
      <c r="E960" s="1" t="s">
        <v>3</v>
      </c>
      <c r="F960" s="1" t="s">
        <v>4</v>
      </c>
      <c r="G960" s="1" t="s">
        <v>5</v>
      </c>
      <c r="H960" s="1">
        <v>13.16</v>
      </c>
      <c r="I960" s="1">
        <v>1</v>
      </c>
      <c r="J960" s="13">
        <v>9689</v>
      </c>
      <c r="M960">
        <v>47097</v>
      </c>
    </row>
    <row r="961" spans="3:13" x14ac:dyDescent="0.25">
      <c r="C961" s="3">
        <v>956</v>
      </c>
      <c r="D961" s="1">
        <v>54</v>
      </c>
      <c r="E961" s="1" t="s">
        <v>3</v>
      </c>
      <c r="F961" s="1" t="s">
        <v>1</v>
      </c>
      <c r="G961" s="1" t="s">
        <v>5</v>
      </c>
      <c r="H961" s="1">
        <v>10.27</v>
      </c>
      <c r="I961" s="1">
        <v>1</v>
      </c>
      <c r="J961" s="13">
        <v>104999</v>
      </c>
      <c r="M961">
        <v>14250</v>
      </c>
    </row>
    <row r="962" spans="3:13" x14ac:dyDescent="0.25">
      <c r="C962" s="3">
        <v>957</v>
      </c>
      <c r="D962" s="1">
        <v>24</v>
      </c>
      <c r="E962" s="1" t="s">
        <v>3</v>
      </c>
      <c r="F962" s="1" t="s">
        <v>4</v>
      </c>
      <c r="G962" s="1" t="s">
        <v>6</v>
      </c>
      <c r="H962" s="1">
        <v>8.93</v>
      </c>
      <c r="I962" s="1">
        <v>1</v>
      </c>
      <c r="J962" s="13">
        <v>31525</v>
      </c>
      <c r="M962">
        <v>15984</v>
      </c>
    </row>
    <row r="963" spans="3:13" x14ac:dyDescent="0.25">
      <c r="C963" s="3">
        <v>958</v>
      </c>
      <c r="D963" s="1">
        <v>43</v>
      </c>
      <c r="E963" s="1" t="s">
        <v>3</v>
      </c>
      <c r="F963" s="1" t="s">
        <v>1</v>
      </c>
      <c r="G963" s="1" t="s">
        <v>7</v>
      </c>
      <c r="H963" s="1">
        <v>11.65</v>
      </c>
      <c r="I963" s="1">
        <v>1</v>
      </c>
      <c r="J963" s="13">
        <v>102586</v>
      </c>
      <c r="M963">
        <v>12337</v>
      </c>
    </row>
    <row r="964" spans="3:13" x14ac:dyDescent="0.25">
      <c r="C964" s="3">
        <v>959</v>
      </c>
      <c r="D964" s="1">
        <v>48</v>
      </c>
      <c r="E964" s="1" t="s">
        <v>3</v>
      </c>
      <c r="F964" s="1" t="s">
        <v>4</v>
      </c>
      <c r="G964" s="1" t="s">
        <v>6</v>
      </c>
      <c r="H964" s="1">
        <v>12.22</v>
      </c>
      <c r="I964" s="1">
        <v>1</v>
      </c>
      <c r="J964" s="13">
        <v>71172</v>
      </c>
      <c r="M964">
        <v>15497</v>
      </c>
    </row>
    <row r="965" spans="3:13" x14ac:dyDescent="0.25">
      <c r="C965" s="3">
        <v>960</v>
      </c>
      <c r="D965" s="1">
        <v>19</v>
      </c>
      <c r="E965" s="1" t="s">
        <v>0</v>
      </c>
      <c r="F965" s="1" t="s">
        <v>4</v>
      </c>
      <c r="G965" s="1" t="s">
        <v>6</v>
      </c>
      <c r="H965" s="1">
        <v>13.2</v>
      </c>
      <c r="I965" s="1">
        <v>1</v>
      </c>
      <c r="J965" s="13">
        <v>6825</v>
      </c>
      <c r="M965">
        <v>21833</v>
      </c>
    </row>
    <row r="966" spans="3:13" x14ac:dyDescent="0.25">
      <c r="C966" s="3">
        <v>961</v>
      </c>
      <c r="D966" s="1">
        <v>29</v>
      </c>
      <c r="E966" s="1" t="s">
        <v>0</v>
      </c>
      <c r="F966" s="1" t="s">
        <v>4</v>
      </c>
      <c r="G966" s="1" t="s">
        <v>2</v>
      </c>
      <c r="H966" s="1">
        <v>8.6300000000000008</v>
      </c>
      <c r="I966" s="1">
        <v>0</v>
      </c>
      <c r="J966" s="13">
        <v>8383</v>
      </c>
      <c r="M966">
        <v>5138</v>
      </c>
    </row>
    <row r="967" spans="3:13" x14ac:dyDescent="0.25">
      <c r="C967" s="3">
        <v>962</v>
      </c>
      <c r="D967" s="1">
        <v>63</v>
      </c>
      <c r="E967" s="1" t="s">
        <v>0</v>
      </c>
      <c r="F967" s="1" t="s">
        <v>4</v>
      </c>
      <c r="G967" s="1" t="s">
        <v>5</v>
      </c>
      <c r="H967" s="1">
        <v>11.73</v>
      </c>
      <c r="I967" s="1">
        <v>1</v>
      </c>
      <c r="J967" s="13">
        <v>36187</v>
      </c>
      <c r="M967">
        <v>24910</v>
      </c>
    </row>
    <row r="968" spans="3:13" x14ac:dyDescent="0.25">
      <c r="C968" s="3">
        <v>963</v>
      </c>
      <c r="D968" s="1">
        <v>46</v>
      </c>
      <c r="E968" s="1" t="s">
        <v>3</v>
      </c>
      <c r="F968" s="1" t="s">
        <v>4</v>
      </c>
      <c r="G968" s="1" t="s">
        <v>7</v>
      </c>
      <c r="H968" s="1">
        <v>8.26</v>
      </c>
      <c r="I968" s="1">
        <v>3</v>
      </c>
      <c r="J968" s="13">
        <v>23751</v>
      </c>
      <c r="M968">
        <v>12791</v>
      </c>
    </row>
    <row r="969" spans="3:13" x14ac:dyDescent="0.25">
      <c r="C969" s="3">
        <v>964</v>
      </c>
      <c r="D969" s="1">
        <v>52</v>
      </c>
      <c r="E969" s="1" t="s">
        <v>3</v>
      </c>
      <c r="F969" s="1" t="s">
        <v>4</v>
      </c>
      <c r="G969" s="1" t="s">
        <v>6</v>
      </c>
      <c r="H969" s="1">
        <v>12.26</v>
      </c>
      <c r="I969" s="1">
        <v>2</v>
      </c>
      <c r="J969" s="13">
        <v>66168</v>
      </c>
      <c r="M969">
        <v>92277</v>
      </c>
    </row>
    <row r="970" spans="3:13" x14ac:dyDescent="0.25">
      <c r="C970" s="3">
        <v>965</v>
      </c>
      <c r="D970" s="1">
        <v>35</v>
      </c>
      <c r="E970" s="1" t="s">
        <v>3</v>
      </c>
      <c r="F970" s="1" t="s">
        <v>4</v>
      </c>
      <c r="G970" s="1" t="s">
        <v>2</v>
      </c>
      <c r="H970" s="1">
        <v>9.0299999999999994</v>
      </c>
      <c r="I970" s="1">
        <v>1</v>
      </c>
      <c r="J970" s="13">
        <v>11866</v>
      </c>
      <c r="M970">
        <v>30868</v>
      </c>
    </row>
    <row r="971" spans="3:13" x14ac:dyDescent="0.25">
      <c r="C971" s="3">
        <v>966</v>
      </c>
      <c r="D971" s="1">
        <v>51</v>
      </c>
      <c r="E971" s="1" t="s">
        <v>3</v>
      </c>
      <c r="F971" s="1" t="s">
        <v>1</v>
      </c>
      <c r="G971" s="1" t="s">
        <v>6</v>
      </c>
      <c r="H971" s="1">
        <v>8.26</v>
      </c>
      <c r="I971" s="1">
        <v>2</v>
      </c>
      <c r="J971" s="13">
        <v>59918</v>
      </c>
      <c r="M971">
        <v>13433</v>
      </c>
    </row>
    <row r="972" spans="3:13" x14ac:dyDescent="0.25">
      <c r="C972" s="3">
        <v>967</v>
      </c>
      <c r="D972" s="1">
        <v>44</v>
      </c>
      <c r="E972" s="1" t="s">
        <v>3</v>
      </c>
      <c r="F972" s="1" t="s">
        <v>4</v>
      </c>
      <c r="G972" s="1" t="s">
        <v>6</v>
      </c>
      <c r="H972" s="1">
        <v>8.4600000000000009</v>
      </c>
      <c r="I972" s="1">
        <v>1</v>
      </c>
      <c r="J972" s="13">
        <v>18795</v>
      </c>
      <c r="M972">
        <v>58908</v>
      </c>
    </row>
    <row r="973" spans="3:13" x14ac:dyDescent="0.25">
      <c r="C973" s="3">
        <v>968</v>
      </c>
      <c r="D973" s="1">
        <v>21</v>
      </c>
      <c r="E973" s="1" t="s">
        <v>3</v>
      </c>
      <c r="F973" s="1" t="s">
        <v>4</v>
      </c>
      <c r="G973" s="1" t="s">
        <v>7</v>
      </c>
      <c r="H973" s="1">
        <v>8.58</v>
      </c>
      <c r="I973" s="1">
        <v>2</v>
      </c>
      <c r="J973" s="13">
        <v>8200</v>
      </c>
      <c r="M973">
        <v>4256</v>
      </c>
    </row>
    <row r="974" spans="3:13" x14ac:dyDescent="0.25">
      <c r="C974" s="3">
        <v>969</v>
      </c>
      <c r="D974" s="1">
        <v>39</v>
      </c>
      <c r="E974" s="1" t="s">
        <v>0</v>
      </c>
      <c r="F974" s="1" t="s">
        <v>4</v>
      </c>
      <c r="G974" s="1" t="s">
        <v>5</v>
      </c>
      <c r="H974" s="1">
        <v>11.44</v>
      </c>
      <c r="I974" s="1">
        <v>5</v>
      </c>
      <c r="J974" s="13">
        <v>21492</v>
      </c>
      <c r="M974">
        <v>27017</v>
      </c>
    </row>
    <row r="975" spans="3:13" x14ac:dyDescent="0.25">
      <c r="C975" s="3">
        <v>970</v>
      </c>
      <c r="D975" s="1">
        <v>50</v>
      </c>
      <c r="E975" s="1" t="s">
        <v>0</v>
      </c>
      <c r="F975" s="1" t="s">
        <v>4</v>
      </c>
      <c r="G975" s="1" t="s">
        <v>5</v>
      </c>
      <c r="H975" s="1">
        <v>9.39</v>
      </c>
      <c r="I975" s="1">
        <v>3</v>
      </c>
      <c r="J975" s="13">
        <v>26757</v>
      </c>
      <c r="M975">
        <v>9890</v>
      </c>
    </row>
    <row r="976" spans="3:13" x14ac:dyDescent="0.25">
      <c r="C976" s="3">
        <v>971</v>
      </c>
      <c r="D976" s="1">
        <v>34</v>
      </c>
      <c r="E976" s="1" t="s">
        <v>0</v>
      </c>
      <c r="F976" s="1" t="s">
        <v>4</v>
      </c>
      <c r="G976" s="1" t="s">
        <v>7</v>
      </c>
      <c r="H976" s="1">
        <v>7.85</v>
      </c>
      <c r="I976" s="1">
        <v>0</v>
      </c>
      <c r="J976" s="13">
        <v>12481</v>
      </c>
      <c r="M976">
        <v>32225</v>
      </c>
    </row>
    <row r="977" spans="3:13" x14ac:dyDescent="0.25">
      <c r="C977" s="3">
        <v>972</v>
      </c>
      <c r="D977" s="1">
        <v>22</v>
      </c>
      <c r="E977" s="1" t="s">
        <v>0</v>
      </c>
      <c r="F977" s="1" t="s">
        <v>4</v>
      </c>
      <c r="G977" s="1" t="s">
        <v>6</v>
      </c>
      <c r="H977" s="1">
        <v>6.74</v>
      </c>
      <c r="I977" s="1">
        <v>0</v>
      </c>
      <c r="J977" s="13">
        <v>6320</v>
      </c>
      <c r="M977">
        <v>13539</v>
      </c>
    </row>
    <row r="978" spans="3:13" x14ac:dyDescent="0.25">
      <c r="C978" s="3">
        <v>973</v>
      </c>
      <c r="D978" s="1">
        <v>19</v>
      </c>
      <c r="E978" s="1" t="s">
        <v>0</v>
      </c>
      <c r="F978" s="1" t="s">
        <v>4</v>
      </c>
      <c r="G978" s="1" t="s">
        <v>2</v>
      </c>
      <c r="H978" s="1">
        <v>13.5</v>
      </c>
      <c r="I978" s="1">
        <v>0</v>
      </c>
      <c r="J978" s="13">
        <v>4398</v>
      </c>
      <c r="M978">
        <v>10145</v>
      </c>
    </row>
    <row r="979" spans="3:13" x14ac:dyDescent="0.25">
      <c r="C979" s="3">
        <v>974</v>
      </c>
      <c r="D979" s="1">
        <v>26</v>
      </c>
      <c r="E979" s="1" t="s">
        <v>3</v>
      </c>
      <c r="F979" s="1" t="s">
        <v>4</v>
      </c>
      <c r="G979" s="1" t="s">
        <v>5</v>
      </c>
      <c r="H979" s="1">
        <v>11.81</v>
      </c>
      <c r="I979" s="1">
        <v>0</v>
      </c>
      <c r="J979" s="13">
        <v>5807</v>
      </c>
      <c r="M979">
        <v>18843</v>
      </c>
    </row>
    <row r="980" spans="3:13" x14ac:dyDescent="0.25">
      <c r="C980" s="3">
        <v>975</v>
      </c>
      <c r="D980" s="1">
        <v>29</v>
      </c>
      <c r="E980" s="1" t="s">
        <v>3</v>
      </c>
      <c r="F980" s="1" t="s">
        <v>1</v>
      </c>
      <c r="G980" s="1" t="s">
        <v>7</v>
      </c>
      <c r="H980" s="1">
        <v>7.63</v>
      </c>
      <c r="I980" s="1">
        <v>0</v>
      </c>
      <c r="J980" s="13">
        <v>40347</v>
      </c>
      <c r="M980">
        <v>11796</v>
      </c>
    </row>
    <row r="981" spans="3:13" x14ac:dyDescent="0.25">
      <c r="C981" s="3">
        <v>976</v>
      </c>
      <c r="D981" s="1">
        <v>48</v>
      </c>
      <c r="E981" s="1" t="s">
        <v>3</v>
      </c>
      <c r="F981" s="1" t="s">
        <v>4</v>
      </c>
      <c r="G981" s="1" t="s">
        <v>5</v>
      </c>
      <c r="H981" s="1">
        <v>13.38</v>
      </c>
      <c r="I981" s="1">
        <v>0</v>
      </c>
      <c r="J981" s="13">
        <v>19510</v>
      </c>
      <c r="M981">
        <v>16484</v>
      </c>
    </row>
    <row r="982" spans="3:13" x14ac:dyDescent="0.25">
      <c r="C982" s="3">
        <v>977</v>
      </c>
      <c r="D982" s="1">
        <v>26</v>
      </c>
      <c r="E982" s="1" t="s">
        <v>3</v>
      </c>
      <c r="F982" s="1" t="s">
        <v>4</v>
      </c>
      <c r="G982" s="1" t="s">
        <v>5</v>
      </c>
      <c r="H982" s="1">
        <v>9.7200000000000006</v>
      </c>
      <c r="I982" s="1">
        <v>1</v>
      </c>
      <c r="J982" s="13">
        <v>7257</v>
      </c>
      <c r="M982">
        <v>21107</v>
      </c>
    </row>
    <row r="983" spans="3:13" x14ac:dyDescent="0.25">
      <c r="C983" s="3">
        <v>978</v>
      </c>
      <c r="D983" s="1">
        <v>45</v>
      </c>
      <c r="E983" s="1" t="s">
        <v>0</v>
      </c>
      <c r="F983" s="1" t="s">
        <v>4</v>
      </c>
      <c r="G983" s="1" t="s">
        <v>7</v>
      </c>
      <c r="H983" s="1">
        <v>13.33</v>
      </c>
      <c r="I983" s="1">
        <v>3</v>
      </c>
      <c r="J983" s="13">
        <v>24262</v>
      </c>
      <c r="M983">
        <v>17146</v>
      </c>
    </row>
    <row r="984" spans="3:13" x14ac:dyDescent="0.25">
      <c r="C984" s="3">
        <v>979</v>
      </c>
      <c r="D984" s="1">
        <v>36</v>
      </c>
      <c r="E984" s="1" t="s">
        <v>0</v>
      </c>
      <c r="F984" s="1" t="s">
        <v>4</v>
      </c>
      <c r="G984" s="1" t="s">
        <v>5</v>
      </c>
      <c r="H984" s="1">
        <v>9.9700000000000006</v>
      </c>
      <c r="I984" s="1">
        <v>0</v>
      </c>
      <c r="J984" s="13">
        <v>12223</v>
      </c>
      <c r="M984">
        <v>11989</v>
      </c>
    </row>
    <row r="985" spans="3:13" x14ac:dyDescent="0.25">
      <c r="C985" s="3">
        <v>980</v>
      </c>
      <c r="D985" s="1">
        <v>54</v>
      </c>
      <c r="E985" s="1" t="s">
        <v>3</v>
      </c>
      <c r="F985" s="1" t="s">
        <v>4</v>
      </c>
      <c r="G985" s="1" t="s">
        <v>7</v>
      </c>
      <c r="H985" s="1">
        <v>8.49</v>
      </c>
      <c r="I985" s="1">
        <v>1</v>
      </c>
      <c r="J985" s="13">
        <v>63793</v>
      </c>
      <c r="M985">
        <v>16601</v>
      </c>
    </row>
    <row r="986" spans="3:13" x14ac:dyDescent="0.25">
      <c r="C986" s="3">
        <v>981</v>
      </c>
      <c r="D986" s="1">
        <v>34</v>
      </c>
      <c r="E986" s="1" t="s">
        <v>3</v>
      </c>
      <c r="F986" s="1" t="s">
        <v>4</v>
      </c>
      <c r="G986" s="1" t="s">
        <v>7</v>
      </c>
      <c r="H986" s="1">
        <v>7.12</v>
      </c>
      <c r="I986" s="1">
        <v>0</v>
      </c>
      <c r="J986" s="13">
        <v>11251</v>
      </c>
      <c r="M986">
        <v>17905</v>
      </c>
    </row>
    <row r="987" spans="3:13" x14ac:dyDescent="0.25">
      <c r="C987" s="3">
        <v>982</v>
      </c>
      <c r="D987" s="1">
        <v>31</v>
      </c>
      <c r="E987" s="1" t="s">
        <v>3</v>
      </c>
      <c r="F987" s="1" t="s">
        <v>1</v>
      </c>
      <c r="G987" s="1" t="s">
        <v>2</v>
      </c>
      <c r="H987" s="1">
        <v>8.6300000000000008</v>
      </c>
      <c r="I987" s="1">
        <v>3</v>
      </c>
      <c r="J987" s="13">
        <v>48000</v>
      </c>
      <c r="M987">
        <v>26486</v>
      </c>
    </row>
    <row r="988" spans="3:13" x14ac:dyDescent="0.25">
      <c r="C988" s="3">
        <v>983</v>
      </c>
      <c r="D988" s="1">
        <v>27</v>
      </c>
      <c r="E988" s="1" t="s">
        <v>0</v>
      </c>
      <c r="F988" s="1" t="s">
        <v>4</v>
      </c>
      <c r="G988" s="1" t="s">
        <v>7</v>
      </c>
      <c r="H988" s="1">
        <v>10.199999999999999</v>
      </c>
      <c r="I988" s="1">
        <v>1</v>
      </c>
      <c r="J988" s="13">
        <v>41991</v>
      </c>
      <c r="M988">
        <v>29846</v>
      </c>
    </row>
    <row r="989" spans="3:13" x14ac:dyDescent="0.25">
      <c r="C989" s="3">
        <v>984</v>
      </c>
      <c r="D989" s="1">
        <v>20</v>
      </c>
      <c r="E989" s="1" t="s">
        <v>3</v>
      </c>
      <c r="F989" s="1" t="s">
        <v>4</v>
      </c>
      <c r="G989" s="1" t="s">
        <v>7</v>
      </c>
      <c r="H989" s="1">
        <v>10.039999999999999</v>
      </c>
      <c r="I989" s="1">
        <v>5</v>
      </c>
      <c r="J989" s="13">
        <v>12288</v>
      </c>
      <c r="M989">
        <v>31199</v>
      </c>
    </row>
    <row r="990" spans="3:13" x14ac:dyDescent="0.25">
      <c r="C990" s="3">
        <v>985</v>
      </c>
      <c r="D990" s="1">
        <v>44</v>
      </c>
      <c r="E990" s="1" t="s">
        <v>0</v>
      </c>
      <c r="F990" s="1" t="s">
        <v>4</v>
      </c>
      <c r="G990" s="1" t="s">
        <v>2</v>
      </c>
      <c r="H990" s="1">
        <v>8.6</v>
      </c>
      <c r="I990" s="1">
        <v>1</v>
      </c>
      <c r="J990" s="13">
        <v>19062</v>
      </c>
      <c r="M990">
        <v>28364</v>
      </c>
    </row>
    <row r="991" spans="3:13" x14ac:dyDescent="0.25">
      <c r="C991" s="3">
        <v>986</v>
      </c>
      <c r="D991" s="1">
        <v>43</v>
      </c>
      <c r="E991" s="1" t="s">
        <v>3</v>
      </c>
      <c r="F991" s="1" t="s">
        <v>4</v>
      </c>
      <c r="G991" s="1" t="s">
        <v>6</v>
      </c>
      <c r="H991" s="1">
        <v>10.039999999999999</v>
      </c>
      <c r="I991" s="1">
        <v>3</v>
      </c>
      <c r="J991" s="13">
        <v>21025</v>
      </c>
      <c r="M991">
        <v>21289</v>
      </c>
    </row>
    <row r="992" spans="3:13" x14ac:dyDescent="0.25">
      <c r="C992" s="3">
        <v>987</v>
      </c>
      <c r="D992" s="1">
        <v>45</v>
      </c>
      <c r="E992" s="1" t="s">
        <v>0</v>
      </c>
      <c r="F992" s="1" t="s">
        <v>4</v>
      </c>
      <c r="G992" s="1" t="s">
        <v>6</v>
      </c>
      <c r="H992" s="1">
        <v>9.2200000000000006</v>
      </c>
      <c r="I992" s="1">
        <v>1</v>
      </c>
      <c r="J992" s="13">
        <v>70850</v>
      </c>
      <c r="M992">
        <v>6749</v>
      </c>
    </row>
    <row r="993" spans="3:13" x14ac:dyDescent="0.25">
      <c r="C993" s="3">
        <v>988</v>
      </c>
      <c r="D993" s="1">
        <v>34</v>
      </c>
      <c r="E993" s="1" t="s">
        <v>3</v>
      </c>
      <c r="F993" s="1" t="s">
        <v>4</v>
      </c>
      <c r="G993" s="1" t="s">
        <v>7</v>
      </c>
      <c r="H993" s="1">
        <v>11.56</v>
      </c>
      <c r="I993" s="1">
        <v>0</v>
      </c>
      <c r="J993" s="13">
        <v>11297</v>
      </c>
      <c r="M993">
        <v>36125</v>
      </c>
    </row>
    <row r="994" spans="3:13" x14ac:dyDescent="0.25">
      <c r="C994" s="3">
        <v>989</v>
      </c>
      <c r="D994" s="1">
        <v>24</v>
      </c>
      <c r="E994" s="1" t="s">
        <v>0</v>
      </c>
      <c r="F994" s="1" t="s">
        <v>1</v>
      </c>
      <c r="G994" s="1" t="s">
        <v>7</v>
      </c>
      <c r="H994" s="1">
        <v>6.84</v>
      </c>
      <c r="I994" s="1">
        <v>0</v>
      </c>
      <c r="J994" s="13">
        <v>36430</v>
      </c>
      <c r="M994">
        <v>30561</v>
      </c>
    </row>
    <row r="995" spans="3:13" x14ac:dyDescent="0.25">
      <c r="C995" s="3">
        <v>990</v>
      </c>
      <c r="D995" s="1">
        <v>26</v>
      </c>
      <c r="E995" s="1" t="s">
        <v>0</v>
      </c>
      <c r="F995" s="1" t="s">
        <v>4</v>
      </c>
      <c r="G995" s="1" t="s">
        <v>2</v>
      </c>
      <c r="H995" s="1">
        <v>6.6</v>
      </c>
      <c r="I995" s="1">
        <v>1</v>
      </c>
      <c r="J995" s="13">
        <v>8447</v>
      </c>
      <c r="M995">
        <v>17464</v>
      </c>
    </row>
    <row r="996" spans="3:13" x14ac:dyDescent="0.25">
      <c r="C996" s="3">
        <v>991</v>
      </c>
      <c r="D996" s="1">
        <v>38</v>
      </c>
      <c r="E996" s="1" t="s">
        <v>0</v>
      </c>
      <c r="F996" s="1" t="s">
        <v>4</v>
      </c>
      <c r="G996" s="1" t="s">
        <v>7</v>
      </c>
      <c r="H996" s="1">
        <v>9.2799999999999994</v>
      </c>
      <c r="I996" s="1">
        <v>2</v>
      </c>
      <c r="J996" s="13">
        <v>17862</v>
      </c>
      <c r="M996">
        <v>8096</v>
      </c>
    </row>
    <row r="997" spans="3:13" x14ac:dyDescent="0.25">
      <c r="C997" s="3">
        <v>992</v>
      </c>
      <c r="D997" s="1">
        <v>50</v>
      </c>
      <c r="E997" s="1" t="s">
        <v>0</v>
      </c>
      <c r="F997" s="1" t="s">
        <v>4</v>
      </c>
      <c r="G997" s="1" t="s">
        <v>2</v>
      </c>
      <c r="H997" s="1">
        <v>10.53</v>
      </c>
      <c r="I997" s="1">
        <v>2</v>
      </c>
      <c r="J997" s="13">
        <v>25296</v>
      </c>
      <c r="M997">
        <v>10741</v>
      </c>
    </row>
    <row r="998" spans="3:13" x14ac:dyDescent="0.25">
      <c r="C998" s="3">
        <v>993</v>
      </c>
      <c r="D998" s="1">
        <v>38</v>
      </c>
      <c r="E998" s="1" t="s">
        <v>3</v>
      </c>
      <c r="F998" s="1" t="s">
        <v>4</v>
      </c>
      <c r="G998" s="1" t="s">
        <v>5</v>
      </c>
      <c r="H998" s="1">
        <v>9.42</v>
      </c>
      <c r="I998" s="1">
        <v>1</v>
      </c>
      <c r="J998" s="13">
        <v>13711</v>
      </c>
      <c r="M998">
        <v>7929</v>
      </c>
    </row>
    <row r="999" spans="3:13" x14ac:dyDescent="0.25">
      <c r="C999" s="3">
        <v>994</v>
      </c>
      <c r="D999" s="1">
        <v>27</v>
      </c>
      <c r="E999" s="1" t="s">
        <v>0</v>
      </c>
      <c r="F999" s="1" t="s">
        <v>1</v>
      </c>
      <c r="G999" s="1" t="s">
        <v>6</v>
      </c>
      <c r="H999" s="1">
        <v>6.68</v>
      </c>
      <c r="I999" s="1">
        <v>3</v>
      </c>
      <c r="J999" s="13">
        <v>41051</v>
      </c>
      <c r="M999">
        <v>2840</v>
      </c>
    </row>
    <row r="1000" spans="3:13" x14ac:dyDescent="0.25">
      <c r="C1000" s="3">
        <v>995</v>
      </c>
      <c r="D1000" s="1">
        <v>39</v>
      </c>
      <c r="E1000" s="1" t="s">
        <v>0</v>
      </c>
      <c r="F1000" s="1" t="s">
        <v>4</v>
      </c>
      <c r="G1000" s="1" t="s">
        <v>7</v>
      </c>
      <c r="H1000" s="1">
        <v>7.76</v>
      </c>
      <c r="I1000" s="1">
        <v>3</v>
      </c>
      <c r="J1000" s="13">
        <v>19966</v>
      </c>
      <c r="M1000">
        <v>14038</v>
      </c>
    </row>
    <row r="1001" spans="3:13" x14ac:dyDescent="0.25">
      <c r="C1001" s="3">
        <v>996</v>
      </c>
      <c r="D1001" s="1">
        <v>39</v>
      </c>
      <c r="E1001" s="1" t="s">
        <v>0</v>
      </c>
      <c r="F1001" s="1" t="s">
        <v>4</v>
      </c>
      <c r="G1001" s="1" t="s">
        <v>2</v>
      </c>
      <c r="H1001" s="1">
        <v>11.37</v>
      </c>
      <c r="I1001" s="1">
        <v>3</v>
      </c>
      <c r="J1001" s="13">
        <v>18546</v>
      </c>
      <c r="M1001">
        <v>22754</v>
      </c>
    </row>
    <row r="1002" spans="3:13" x14ac:dyDescent="0.25">
      <c r="C1002" s="3">
        <v>997</v>
      </c>
      <c r="D1002" s="1">
        <v>63</v>
      </c>
      <c r="E1002" s="1" t="s">
        <v>0</v>
      </c>
      <c r="F1002" s="1" t="s">
        <v>4</v>
      </c>
      <c r="G1002" s="1" t="s">
        <v>5</v>
      </c>
      <c r="H1002" s="1">
        <v>12.28</v>
      </c>
      <c r="I1002" s="1">
        <v>0</v>
      </c>
      <c r="J1002" s="13">
        <v>34720</v>
      </c>
      <c r="M1002">
        <v>15148</v>
      </c>
    </row>
    <row r="1003" spans="3:13" x14ac:dyDescent="0.25">
      <c r="C1003" s="3">
        <v>998</v>
      </c>
      <c r="D1003" s="1">
        <v>33</v>
      </c>
      <c r="E1003" s="1" t="s">
        <v>0</v>
      </c>
      <c r="F1003" s="1" t="s">
        <v>4</v>
      </c>
      <c r="G1003" s="1" t="s">
        <v>7</v>
      </c>
      <c r="H1003" s="1">
        <v>12.1</v>
      </c>
      <c r="I1003" s="1">
        <v>3</v>
      </c>
      <c r="J1003" s="13">
        <v>16379</v>
      </c>
      <c r="M1003">
        <v>4085</v>
      </c>
    </row>
    <row r="1004" spans="3:13" x14ac:dyDescent="0.25">
      <c r="C1004" s="3">
        <v>999</v>
      </c>
      <c r="D1004" s="1">
        <v>36</v>
      </c>
      <c r="E1004" s="1" t="s">
        <v>0</v>
      </c>
      <c r="F1004" s="1" t="s">
        <v>4</v>
      </c>
      <c r="G1004" s="1" t="s">
        <v>6</v>
      </c>
      <c r="H1004" s="1">
        <v>8.9600000000000009</v>
      </c>
      <c r="I1004" s="1">
        <v>0</v>
      </c>
      <c r="J1004" s="13">
        <v>13170</v>
      </c>
      <c r="M1004">
        <v>3104</v>
      </c>
    </row>
    <row r="1005" spans="3:13" x14ac:dyDescent="0.25">
      <c r="C1005" s="3">
        <v>1000</v>
      </c>
      <c r="D1005" s="1">
        <v>30</v>
      </c>
      <c r="E1005" s="1" t="s">
        <v>3</v>
      </c>
      <c r="F1005" s="1" t="s">
        <v>1</v>
      </c>
      <c r="G1005" s="1" t="s">
        <v>6</v>
      </c>
      <c r="H1005" s="1">
        <v>7.66</v>
      </c>
      <c r="I1005" s="1">
        <v>2</v>
      </c>
      <c r="J1005" s="13">
        <v>43404</v>
      </c>
      <c r="M1005">
        <v>39572</v>
      </c>
    </row>
    <row r="1006" spans="3:13" x14ac:dyDescent="0.25">
      <c r="C1006" s="3">
        <v>1001</v>
      </c>
      <c r="D1006" s="1">
        <v>24</v>
      </c>
      <c r="E1006" s="1" t="s">
        <v>3</v>
      </c>
      <c r="F1006" s="1" t="s">
        <v>1</v>
      </c>
      <c r="G1006" s="1" t="s">
        <v>2</v>
      </c>
      <c r="H1006" s="1">
        <v>10.9</v>
      </c>
      <c r="I1006" s="1">
        <v>0</v>
      </c>
      <c r="J1006" s="13">
        <v>86182</v>
      </c>
      <c r="M1006">
        <v>11038</v>
      </c>
    </row>
    <row r="1007" spans="3:13" x14ac:dyDescent="0.25">
      <c r="C1007" s="3">
        <v>1002</v>
      </c>
      <c r="D1007" s="1">
        <v>24</v>
      </c>
      <c r="E1007" s="1" t="s">
        <v>3</v>
      </c>
      <c r="F1007" s="1" t="s">
        <v>4</v>
      </c>
      <c r="G1007" s="1" t="s">
        <v>2</v>
      </c>
      <c r="H1007" s="1">
        <v>8.6</v>
      </c>
      <c r="I1007" s="1">
        <v>0</v>
      </c>
      <c r="J1007" s="13">
        <v>4932</v>
      </c>
      <c r="M1007">
        <v>16185</v>
      </c>
    </row>
    <row r="1008" spans="3:13" x14ac:dyDescent="0.25">
      <c r="C1008" s="3">
        <v>1003</v>
      </c>
      <c r="D1008" s="1">
        <v>48</v>
      </c>
      <c r="E1008" s="1" t="s">
        <v>3</v>
      </c>
      <c r="F1008" s="1" t="s">
        <v>4</v>
      </c>
      <c r="G1008" s="1" t="s">
        <v>2</v>
      </c>
      <c r="H1008" s="1">
        <v>9.8699999999999992</v>
      </c>
      <c r="I1008" s="1">
        <v>0</v>
      </c>
      <c r="J1008" s="13">
        <v>53080</v>
      </c>
      <c r="M1008">
        <v>28592</v>
      </c>
    </row>
    <row r="1009" spans="3:13" x14ac:dyDescent="0.25">
      <c r="C1009" s="3">
        <v>1004</v>
      </c>
      <c r="D1009" s="1">
        <v>47</v>
      </c>
      <c r="E1009" s="1" t="s">
        <v>3</v>
      </c>
      <c r="F1009" s="1" t="s">
        <v>4</v>
      </c>
      <c r="G1009" s="1" t="s">
        <v>7</v>
      </c>
      <c r="H1009" s="1">
        <v>6.4</v>
      </c>
      <c r="I1009" s="1">
        <v>1</v>
      </c>
      <c r="J1009" s="13">
        <v>21569</v>
      </c>
      <c r="M1009">
        <v>28265</v>
      </c>
    </row>
    <row r="1010" spans="3:13" x14ac:dyDescent="0.25">
      <c r="C1010" s="3">
        <v>1005</v>
      </c>
      <c r="D1010" s="1">
        <v>29</v>
      </c>
      <c r="E1010" s="1" t="s">
        <v>3</v>
      </c>
      <c r="F1010" s="1" t="s">
        <v>4</v>
      </c>
      <c r="G1010" s="1" t="s">
        <v>6</v>
      </c>
      <c r="H1010" s="1">
        <v>10.58</v>
      </c>
      <c r="I1010" s="1">
        <v>2</v>
      </c>
      <c r="J1010" s="13">
        <v>11083</v>
      </c>
      <c r="M1010">
        <v>75159</v>
      </c>
    </row>
    <row r="1011" spans="3:13" x14ac:dyDescent="0.25">
      <c r="C1011" s="3">
        <v>1006</v>
      </c>
      <c r="D1011" s="1">
        <v>28</v>
      </c>
      <c r="E1011" s="1" t="s">
        <v>3</v>
      </c>
      <c r="F1011" s="1" t="s">
        <v>4</v>
      </c>
      <c r="G1011" s="1" t="s">
        <v>7</v>
      </c>
      <c r="H1011" s="1">
        <v>9.75</v>
      </c>
      <c r="I1011" s="1">
        <v>2</v>
      </c>
      <c r="J1011" s="13">
        <v>11096</v>
      </c>
      <c r="M1011">
        <v>25494</v>
      </c>
    </row>
    <row r="1012" spans="3:13" x14ac:dyDescent="0.25">
      <c r="C1012" s="3">
        <v>1007</v>
      </c>
      <c r="D1012" s="1">
        <v>47</v>
      </c>
      <c r="E1012" s="1" t="s">
        <v>3</v>
      </c>
      <c r="F1012" s="1" t="s">
        <v>1</v>
      </c>
      <c r="G1012" s="1" t="s">
        <v>6</v>
      </c>
      <c r="H1012" s="1">
        <v>9.4</v>
      </c>
      <c r="I1012" s="1">
        <v>3</v>
      </c>
      <c r="J1012" s="13">
        <v>62288</v>
      </c>
      <c r="M1012">
        <v>11361</v>
      </c>
    </row>
    <row r="1013" spans="3:13" x14ac:dyDescent="0.25">
      <c r="C1013" s="3">
        <v>1008</v>
      </c>
      <c r="D1013" s="1">
        <v>25</v>
      </c>
      <c r="E1013" s="1" t="s">
        <v>3</v>
      </c>
      <c r="F1013" s="1" t="s">
        <v>4</v>
      </c>
      <c r="G1013" s="1" t="s">
        <v>7</v>
      </c>
      <c r="H1013" s="1">
        <v>8.33</v>
      </c>
      <c r="I1013" s="1">
        <v>2</v>
      </c>
      <c r="J1013" s="13">
        <v>58104</v>
      </c>
      <c r="M1013">
        <v>8193</v>
      </c>
    </row>
    <row r="1014" spans="3:13" x14ac:dyDescent="0.25">
      <c r="C1014" s="3">
        <v>1009</v>
      </c>
      <c r="D1014" s="1">
        <v>51</v>
      </c>
      <c r="E1014" s="1" t="s">
        <v>3</v>
      </c>
      <c r="F1014" s="1" t="s">
        <v>4</v>
      </c>
      <c r="G1014" s="1" t="s">
        <v>7</v>
      </c>
      <c r="H1014" s="1">
        <v>9.25</v>
      </c>
      <c r="I1014" s="1">
        <v>1</v>
      </c>
      <c r="J1014" s="13">
        <v>24894</v>
      </c>
      <c r="M1014">
        <v>16925</v>
      </c>
    </row>
    <row r="1015" spans="3:13" x14ac:dyDescent="0.25">
      <c r="C1015" s="3">
        <v>1010</v>
      </c>
      <c r="D1015" s="1">
        <v>48</v>
      </c>
      <c r="E1015" s="1" t="s">
        <v>0</v>
      </c>
      <c r="F1015" s="1" t="s">
        <v>4</v>
      </c>
      <c r="G1015" s="1" t="s">
        <v>2</v>
      </c>
      <c r="H1015" s="1">
        <v>7.6</v>
      </c>
      <c r="I1015" s="1">
        <v>0</v>
      </c>
      <c r="J1015" s="13">
        <v>20673</v>
      </c>
      <c r="M1015">
        <v>18344</v>
      </c>
    </row>
    <row r="1016" spans="3:13" x14ac:dyDescent="0.25">
      <c r="C1016" s="3">
        <v>1011</v>
      </c>
      <c r="D1016" s="1">
        <v>43</v>
      </c>
      <c r="E1016" s="1" t="s">
        <v>3</v>
      </c>
      <c r="F1016" s="1" t="s">
        <v>1</v>
      </c>
      <c r="G1016" s="1" t="s">
        <v>5</v>
      </c>
      <c r="H1016" s="1">
        <v>6.71</v>
      </c>
      <c r="I1016" s="1">
        <v>2</v>
      </c>
      <c r="J1016" s="13">
        <v>46919</v>
      </c>
      <c r="M1016">
        <v>25927</v>
      </c>
    </row>
    <row r="1017" spans="3:13" x14ac:dyDescent="0.25">
      <c r="C1017" s="3">
        <v>1012</v>
      </c>
      <c r="D1017" s="1">
        <v>61</v>
      </c>
      <c r="E1017" s="1" t="s">
        <v>0</v>
      </c>
      <c r="F1017" s="1" t="s">
        <v>4</v>
      </c>
      <c r="G1017" s="1" t="s">
        <v>5</v>
      </c>
      <c r="H1017" s="1">
        <v>11.11</v>
      </c>
      <c r="I1017" s="1">
        <v>4</v>
      </c>
      <c r="J1017" s="13">
        <v>91451</v>
      </c>
      <c r="M1017">
        <v>26761</v>
      </c>
    </row>
    <row r="1018" spans="3:13" x14ac:dyDescent="0.25">
      <c r="C1018" s="3">
        <v>1013</v>
      </c>
      <c r="D1018" s="1">
        <v>48</v>
      </c>
      <c r="E1018" s="1" t="s">
        <v>3</v>
      </c>
      <c r="F1018" s="1" t="s">
        <v>4</v>
      </c>
      <c r="G1018" s="1" t="s">
        <v>6</v>
      </c>
      <c r="H1018" s="1">
        <v>10.77</v>
      </c>
      <c r="I1018" s="1">
        <v>1</v>
      </c>
      <c r="J1018" s="13">
        <v>21913</v>
      </c>
      <c r="M1018">
        <v>4701</v>
      </c>
    </row>
    <row r="1019" spans="3:13" x14ac:dyDescent="0.25">
      <c r="C1019" s="3">
        <v>1014</v>
      </c>
      <c r="D1019" s="1">
        <v>38</v>
      </c>
      <c r="E1019" s="1" t="s">
        <v>0</v>
      </c>
      <c r="F1019" s="1" t="s">
        <v>4</v>
      </c>
      <c r="G1019" s="1" t="s">
        <v>2</v>
      </c>
      <c r="H1019" s="1">
        <v>9.1999999999999993</v>
      </c>
      <c r="I1019" s="1">
        <v>0</v>
      </c>
      <c r="J1019" s="13">
        <v>13459</v>
      </c>
      <c r="M1019">
        <v>21538</v>
      </c>
    </row>
    <row r="1020" spans="3:13" x14ac:dyDescent="0.25">
      <c r="C1020" s="3">
        <v>1015</v>
      </c>
      <c r="D1020" s="1">
        <v>59</v>
      </c>
      <c r="E1020" s="1" t="s">
        <v>3</v>
      </c>
      <c r="F1020" s="1" t="s">
        <v>4</v>
      </c>
      <c r="G1020" s="1" t="s">
        <v>6</v>
      </c>
      <c r="H1020" s="1">
        <v>8.49</v>
      </c>
      <c r="I1020" s="1">
        <v>0</v>
      </c>
      <c r="J1020" s="13">
        <v>30312</v>
      </c>
      <c r="M1020">
        <v>8231</v>
      </c>
    </row>
    <row r="1021" spans="3:13" x14ac:dyDescent="0.25">
      <c r="C1021" s="3">
        <v>1016</v>
      </c>
      <c r="D1021" s="1">
        <v>19</v>
      </c>
      <c r="E1021" s="1" t="s">
        <v>0</v>
      </c>
      <c r="F1021" s="1" t="s">
        <v>4</v>
      </c>
      <c r="G1021" s="1" t="s">
        <v>6</v>
      </c>
      <c r="H1021" s="1">
        <v>8.1999999999999993</v>
      </c>
      <c r="I1021" s="1">
        <v>1</v>
      </c>
      <c r="J1021" s="13">
        <v>6773</v>
      </c>
      <c r="M1021">
        <v>7555</v>
      </c>
    </row>
    <row r="1022" spans="3:13" x14ac:dyDescent="0.25">
      <c r="C1022" s="3">
        <v>1017</v>
      </c>
      <c r="D1022" s="1">
        <v>26</v>
      </c>
      <c r="E1022" s="1" t="s">
        <v>0</v>
      </c>
      <c r="F1022" s="1" t="s">
        <v>4</v>
      </c>
      <c r="G1022" s="1" t="s">
        <v>2</v>
      </c>
      <c r="H1022" s="1">
        <v>11.4</v>
      </c>
      <c r="I1022" s="1">
        <v>2</v>
      </c>
      <c r="J1022" s="13">
        <v>9970</v>
      </c>
      <c r="M1022">
        <v>36196</v>
      </c>
    </row>
    <row r="1023" spans="3:13" x14ac:dyDescent="0.25">
      <c r="C1023" s="3">
        <v>1018</v>
      </c>
      <c r="D1023" s="1">
        <v>54</v>
      </c>
      <c r="E1023" s="1" t="s">
        <v>0</v>
      </c>
      <c r="F1023" s="1" t="s">
        <v>4</v>
      </c>
      <c r="G1023" s="1" t="s">
        <v>6</v>
      </c>
      <c r="H1023" s="1">
        <v>11.94</v>
      </c>
      <c r="I1023" s="1">
        <v>3</v>
      </c>
      <c r="J1023" s="13">
        <v>31238</v>
      </c>
      <c r="M1023">
        <v>11868</v>
      </c>
    </row>
    <row r="1024" spans="3:13" x14ac:dyDescent="0.25">
      <c r="C1024" s="3">
        <v>1019</v>
      </c>
      <c r="D1024" s="1">
        <v>21</v>
      </c>
      <c r="E1024" s="1" t="s">
        <v>0</v>
      </c>
      <c r="F1024" s="1" t="s">
        <v>4</v>
      </c>
      <c r="G1024" s="1" t="s">
        <v>6</v>
      </c>
      <c r="H1024" s="1">
        <v>10.89</v>
      </c>
      <c r="I1024" s="1">
        <v>2</v>
      </c>
      <c r="J1024" s="13">
        <v>65047</v>
      </c>
      <c r="M1024">
        <v>27398</v>
      </c>
    </row>
    <row r="1025" spans="3:13" x14ac:dyDescent="0.25">
      <c r="C1025" s="3">
        <v>1020</v>
      </c>
      <c r="D1025" s="1">
        <v>51</v>
      </c>
      <c r="E1025" s="1" t="s">
        <v>3</v>
      </c>
      <c r="F1025" s="1" t="s">
        <v>4</v>
      </c>
      <c r="G1025" s="1" t="s">
        <v>2</v>
      </c>
      <c r="H1025" s="1">
        <v>12.33</v>
      </c>
      <c r="I1025" s="1">
        <v>0</v>
      </c>
      <c r="J1025" s="13">
        <v>21996</v>
      </c>
      <c r="M1025">
        <v>6855</v>
      </c>
    </row>
    <row r="1026" spans="3:13" x14ac:dyDescent="0.25">
      <c r="C1026" s="3">
        <v>1021</v>
      </c>
      <c r="D1026" s="1">
        <v>22</v>
      </c>
      <c r="E1026" s="1" t="s">
        <v>0</v>
      </c>
      <c r="F1026" s="1" t="s">
        <v>1</v>
      </c>
      <c r="G1026" s="1" t="s">
        <v>5</v>
      </c>
      <c r="H1026" s="1">
        <v>10.34</v>
      </c>
      <c r="I1026" s="1">
        <v>3</v>
      </c>
      <c r="J1026" s="13">
        <v>88989</v>
      </c>
      <c r="M1026">
        <v>10893</v>
      </c>
    </row>
    <row r="1027" spans="3:13" x14ac:dyDescent="0.25">
      <c r="C1027" s="3">
        <v>1022</v>
      </c>
      <c r="D1027" s="1">
        <v>47</v>
      </c>
      <c r="E1027" s="1" t="s">
        <v>3</v>
      </c>
      <c r="F1027" s="1" t="s">
        <v>1</v>
      </c>
      <c r="G1027" s="1" t="s">
        <v>5</v>
      </c>
      <c r="H1027" s="1">
        <v>12.03</v>
      </c>
      <c r="I1027" s="1">
        <v>1</v>
      </c>
      <c r="J1027" s="13">
        <v>105528</v>
      </c>
      <c r="M1027">
        <v>10473</v>
      </c>
    </row>
    <row r="1028" spans="3:13" x14ac:dyDescent="0.25">
      <c r="C1028" s="3">
        <v>1023</v>
      </c>
      <c r="D1028" s="1">
        <v>18</v>
      </c>
      <c r="E1028" s="1" t="s">
        <v>3</v>
      </c>
      <c r="F1028" s="1" t="s">
        <v>4</v>
      </c>
      <c r="G1028" s="1" t="s">
        <v>5</v>
      </c>
      <c r="H1028" s="1">
        <v>7.77</v>
      </c>
      <c r="I1028" s="1">
        <v>1</v>
      </c>
      <c r="J1028" s="13">
        <v>4278</v>
      </c>
      <c r="M1028">
        <v>20709</v>
      </c>
    </row>
    <row r="1029" spans="3:13" x14ac:dyDescent="0.25">
      <c r="C1029" s="3">
        <v>1024</v>
      </c>
      <c r="D1029" s="1">
        <v>47</v>
      </c>
      <c r="E1029" s="1" t="s">
        <v>0</v>
      </c>
      <c r="F1029" s="1" t="s">
        <v>4</v>
      </c>
      <c r="G1029" s="1" t="s">
        <v>5</v>
      </c>
      <c r="H1029" s="1">
        <v>15.11</v>
      </c>
      <c r="I1029" s="1">
        <v>1</v>
      </c>
      <c r="J1029" s="13">
        <v>21425</v>
      </c>
      <c r="M1029">
        <v>4301</v>
      </c>
    </row>
    <row r="1030" spans="3:13" x14ac:dyDescent="0.25">
      <c r="C1030" s="3">
        <v>1025</v>
      </c>
      <c r="D1030" s="1">
        <v>21</v>
      </c>
      <c r="E1030" s="1" t="s">
        <v>0</v>
      </c>
      <c r="F1030" s="1" t="s">
        <v>4</v>
      </c>
      <c r="G1030" s="1" t="s">
        <v>2</v>
      </c>
      <c r="H1030" s="1">
        <v>11.53</v>
      </c>
      <c r="I1030" s="1">
        <v>0</v>
      </c>
      <c r="J1030" s="13">
        <v>5050</v>
      </c>
      <c r="M1030">
        <v>21337</v>
      </c>
    </row>
    <row r="1031" spans="3:13" x14ac:dyDescent="0.25">
      <c r="C1031" s="3">
        <v>1026</v>
      </c>
      <c r="D1031" s="1">
        <v>19</v>
      </c>
      <c r="E1031" s="1" t="s">
        <v>3</v>
      </c>
      <c r="F1031" s="1" t="s">
        <v>1</v>
      </c>
      <c r="G1031" s="1" t="s">
        <v>6</v>
      </c>
      <c r="H1031" s="1">
        <v>8.68</v>
      </c>
      <c r="I1031" s="1">
        <v>1</v>
      </c>
      <c r="J1031" s="13">
        <v>41127</v>
      </c>
      <c r="M1031">
        <v>9332</v>
      </c>
    </row>
    <row r="1032" spans="3:13" x14ac:dyDescent="0.25">
      <c r="C1032" s="3">
        <v>1027</v>
      </c>
      <c r="D1032" s="1">
        <v>23</v>
      </c>
      <c r="E1032" s="1" t="s">
        <v>3</v>
      </c>
      <c r="F1032" s="1" t="s">
        <v>4</v>
      </c>
      <c r="G1032" s="1" t="s">
        <v>6</v>
      </c>
      <c r="H1032" s="1">
        <v>6.24</v>
      </c>
      <c r="I1032" s="1">
        <v>0</v>
      </c>
      <c r="J1032" s="13">
        <v>53988</v>
      </c>
      <c r="M1032">
        <v>13681</v>
      </c>
    </row>
    <row r="1033" spans="3:13" x14ac:dyDescent="0.25">
      <c r="C1033" s="3">
        <v>1028</v>
      </c>
      <c r="D1033" s="1">
        <v>54</v>
      </c>
      <c r="E1033" s="1" t="s">
        <v>3</v>
      </c>
      <c r="F1033" s="1" t="s">
        <v>4</v>
      </c>
      <c r="G1033" s="1" t="s">
        <v>2</v>
      </c>
      <c r="H1033" s="1">
        <v>10.53</v>
      </c>
      <c r="I1033" s="1">
        <v>0</v>
      </c>
      <c r="J1033" s="13">
        <v>24626</v>
      </c>
      <c r="M1033">
        <v>17869</v>
      </c>
    </row>
    <row r="1034" spans="3:13" x14ac:dyDescent="0.25">
      <c r="C1034" s="3">
        <v>1029</v>
      </c>
      <c r="D1034" s="1">
        <v>37</v>
      </c>
      <c r="E1034" s="1" t="s">
        <v>0</v>
      </c>
      <c r="F1034" s="1" t="s">
        <v>4</v>
      </c>
      <c r="G1034" s="1" t="s">
        <v>7</v>
      </c>
      <c r="H1034" s="1">
        <v>5.76</v>
      </c>
      <c r="I1034" s="1">
        <v>2</v>
      </c>
      <c r="J1034" s="13">
        <v>17195</v>
      </c>
      <c r="M1034">
        <v>17835</v>
      </c>
    </row>
    <row r="1035" spans="3:13" x14ac:dyDescent="0.25">
      <c r="C1035" s="3">
        <v>1030</v>
      </c>
      <c r="D1035" s="1">
        <v>46</v>
      </c>
      <c r="E1035" s="1" t="s">
        <v>0</v>
      </c>
      <c r="F1035" s="1" t="s">
        <v>1</v>
      </c>
      <c r="G1035" s="1" t="s">
        <v>6</v>
      </c>
      <c r="H1035" s="1">
        <v>7.89</v>
      </c>
      <c r="I1035" s="1">
        <v>1</v>
      </c>
      <c r="J1035" s="13">
        <v>54193</v>
      </c>
      <c r="M1035">
        <v>3788</v>
      </c>
    </row>
    <row r="1036" spans="3:13" x14ac:dyDescent="0.25">
      <c r="C1036" s="3">
        <v>1031</v>
      </c>
      <c r="D1036" s="1">
        <v>55</v>
      </c>
      <c r="E1036" s="1" t="s">
        <v>0</v>
      </c>
      <c r="F1036" s="1" t="s">
        <v>1</v>
      </c>
      <c r="G1036" s="1" t="s">
        <v>5</v>
      </c>
      <c r="H1036" s="1">
        <v>11.73</v>
      </c>
      <c r="I1036" s="1">
        <v>0</v>
      </c>
      <c r="J1036" s="13">
        <v>111060</v>
      </c>
      <c r="M1036">
        <v>23255</v>
      </c>
    </row>
    <row r="1037" spans="3:13" x14ac:dyDescent="0.25">
      <c r="C1037" s="3">
        <v>1032</v>
      </c>
      <c r="D1037" s="1">
        <v>30</v>
      </c>
      <c r="E1037" s="1" t="s">
        <v>0</v>
      </c>
      <c r="F1037" s="1" t="s">
        <v>4</v>
      </c>
      <c r="G1037" s="1" t="s">
        <v>7</v>
      </c>
      <c r="H1037" s="1">
        <v>9.31</v>
      </c>
      <c r="I1037" s="1">
        <v>0</v>
      </c>
      <c r="J1037" s="13">
        <v>10344</v>
      </c>
      <c r="M1037">
        <v>29828</v>
      </c>
    </row>
    <row r="1038" spans="3:13" x14ac:dyDescent="0.25">
      <c r="C1038" s="3">
        <v>1033</v>
      </c>
      <c r="D1038" s="1">
        <v>18</v>
      </c>
      <c r="E1038" s="1" t="s">
        <v>3</v>
      </c>
      <c r="F1038" s="1" t="s">
        <v>1</v>
      </c>
      <c r="G1038" s="1" t="s">
        <v>7</v>
      </c>
      <c r="H1038" s="1">
        <v>7.19</v>
      </c>
      <c r="I1038" s="1">
        <v>0</v>
      </c>
      <c r="J1038" s="13">
        <v>34370</v>
      </c>
      <c r="M1038">
        <v>4912</v>
      </c>
    </row>
    <row r="1039" spans="3:13" x14ac:dyDescent="0.25">
      <c r="C1039" s="3">
        <v>1034</v>
      </c>
      <c r="D1039" s="1">
        <v>61</v>
      </c>
      <c r="E1039" s="1" t="s">
        <v>3</v>
      </c>
      <c r="F1039" s="1" t="s">
        <v>4</v>
      </c>
      <c r="G1039" s="1" t="s">
        <v>6</v>
      </c>
      <c r="H1039" s="1">
        <v>12.79</v>
      </c>
      <c r="I1039" s="1">
        <v>0</v>
      </c>
      <c r="J1039" s="13">
        <v>32375</v>
      </c>
      <c r="M1039">
        <v>4272</v>
      </c>
    </row>
    <row r="1040" spans="3:13" x14ac:dyDescent="0.25">
      <c r="C1040" s="3">
        <v>1035</v>
      </c>
      <c r="D1040" s="1">
        <v>54</v>
      </c>
      <c r="E1040" s="1" t="s">
        <v>0</v>
      </c>
      <c r="F1040" s="1" t="s">
        <v>4</v>
      </c>
      <c r="G1040" s="1" t="s">
        <v>2</v>
      </c>
      <c r="H1040" s="1">
        <v>7.67</v>
      </c>
      <c r="I1040" s="1">
        <v>3</v>
      </c>
      <c r="J1040" s="13">
        <v>30236</v>
      </c>
      <c r="M1040">
        <v>10851</v>
      </c>
    </row>
    <row r="1041" spans="3:13" x14ac:dyDescent="0.25">
      <c r="C1041" s="3">
        <v>1036</v>
      </c>
      <c r="D1041" s="1">
        <v>22</v>
      </c>
      <c r="E1041" s="1" t="s">
        <v>3</v>
      </c>
      <c r="F1041" s="1" t="s">
        <v>1</v>
      </c>
      <c r="G1041" s="1" t="s">
        <v>5</v>
      </c>
      <c r="H1041" s="1">
        <v>12.36</v>
      </c>
      <c r="I1041" s="1">
        <v>2</v>
      </c>
      <c r="J1041" s="13">
        <v>93711</v>
      </c>
      <c r="M1041">
        <v>13154</v>
      </c>
    </row>
    <row r="1042" spans="3:13" x14ac:dyDescent="0.25">
      <c r="C1042" s="3">
        <v>1037</v>
      </c>
      <c r="D1042" s="1">
        <v>45</v>
      </c>
      <c r="E1042" s="1" t="s">
        <v>0</v>
      </c>
      <c r="F1042" s="1" t="s">
        <v>1</v>
      </c>
      <c r="G1042" s="1" t="s">
        <v>6</v>
      </c>
      <c r="H1042" s="1">
        <v>10.17</v>
      </c>
      <c r="I1042" s="1">
        <v>1</v>
      </c>
      <c r="J1042" s="13">
        <v>99314</v>
      </c>
      <c r="M1042">
        <v>6777</v>
      </c>
    </row>
    <row r="1043" spans="3:13" x14ac:dyDescent="0.25">
      <c r="C1043" s="3">
        <v>1038</v>
      </c>
      <c r="D1043" s="1">
        <v>22</v>
      </c>
      <c r="E1043" s="1" t="s">
        <v>3</v>
      </c>
      <c r="F1043" s="1" t="s">
        <v>4</v>
      </c>
      <c r="G1043" s="1" t="s">
        <v>7</v>
      </c>
      <c r="H1043" s="1">
        <v>9.6300000000000008</v>
      </c>
      <c r="I1043" s="1">
        <v>0</v>
      </c>
      <c r="J1043" s="13">
        <v>5627</v>
      </c>
      <c r="M1043">
        <v>8022</v>
      </c>
    </row>
    <row r="1044" spans="3:13" x14ac:dyDescent="0.25">
      <c r="C1044" s="3">
        <v>1039</v>
      </c>
      <c r="D1044" s="1">
        <v>19</v>
      </c>
      <c r="E1044" s="1" t="s">
        <v>3</v>
      </c>
      <c r="F1044" s="1" t="s">
        <v>4</v>
      </c>
      <c r="G1044" s="1" t="s">
        <v>6</v>
      </c>
      <c r="H1044" s="1">
        <v>9.09</v>
      </c>
      <c r="I1044" s="1">
        <v>2</v>
      </c>
      <c r="J1044" s="13">
        <v>56234</v>
      </c>
      <c r="M1044">
        <v>6162</v>
      </c>
    </row>
    <row r="1045" spans="3:13" x14ac:dyDescent="0.25">
      <c r="C1045" s="3">
        <v>1040</v>
      </c>
      <c r="D1045" s="1">
        <v>35</v>
      </c>
      <c r="E1045" s="1" t="s">
        <v>0</v>
      </c>
      <c r="F1045" s="1" t="s">
        <v>1</v>
      </c>
      <c r="G1045" s="1" t="s">
        <v>6</v>
      </c>
      <c r="H1045" s="1">
        <v>9.34</v>
      </c>
      <c r="I1045" s="1">
        <v>0</v>
      </c>
      <c r="J1045" s="13">
        <v>50587</v>
      </c>
      <c r="M1045">
        <v>17190</v>
      </c>
    </row>
    <row r="1046" spans="3:13" x14ac:dyDescent="0.25">
      <c r="C1046" s="3">
        <v>1041</v>
      </c>
      <c r="D1046" s="1">
        <v>18</v>
      </c>
      <c r="E1046" s="1" t="s">
        <v>3</v>
      </c>
      <c r="F1046" s="1" t="s">
        <v>4</v>
      </c>
      <c r="G1046" s="1" t="s">
        <v>7</v>
      </c>
      <c r="H1046" s="1">
        <v>7.7</v>
      </c>
      <c r="I1046" s="1">
        <v>0</v>
      </c>
      <c r="J1046" s="13">
        <v>4262</v>
      </c>
      <c r="M1046">
        <v>17352</v>
      </c>
    </row>
    <row r="1047" spans="3:13" x14ac:dyDescent="0.25">
      <c r="C1047" s="3">
        <v>1042</v>
      </c>
      <c r="D1047" s="1">
        <v>20</v>
      </c>
      <c r="E1047" s="1" t="s">
        <v>3</v>
      </c>
      <c r="F1047" s="1" t="s">
        <v>1</v>
      </c>
      <c r="G1047" s="1" t="s">
        <v>7</v>
      </c>
      <c r="H1047" s="1">
        <v>10.23</v>
      </c>
      <c r="I1047" s="1">
        <v>0</v>
      </c>
      <c r="J1047" s="13">
        <v>83690</v>
      </c>
      <c r="M1047">
        <v>11429</v>
      </c>
    </row>
    <row r="1048" spans="3:13" x14ac:dyDescent="0.25">
      <c r="C1048" s="3">
        <v>1043</v>
      </c>
      <c r="D1048" s="1">
        <v>28</v>
      </c>
      <c r="E1048" s="1" t="s">
        <v>0</v>
      </c>
      <c r="F1048" s="1" t="s">
        <v>4</v>
      </c>
      <c r="G1048" s="1" t="s">
        <v>2</v>
      </c>
      <c r="H1048" s="1">
        <v>8.6</v>
      </c>
      <c r="I1048" s="1">
        <v>0</v>
      </c>
      <c r="J1048" s="13">
        <v>7904</v>
      </c>
      <c r="M1048">
        <v>11341</v>
      </c>
    </row>
    <row r="1049" spans="3:13" x14ac:dyDescent="0.25">
      <c r="C1049" s="3">
        <v>1044</v>
      </c>
      <c r="D1049" s="1">
        <v>55</v>
      </c>
      <c r="E1049" s="1" t="s">
        <v>3</v>
      </c>
      <c r="F1049" s="1" t="s">
        <v>4</v>
      </c>
      <c r="G1049" s="1" t="s">
        <v>7</v>
      </c>
      <c r="H1049" s="1">
        <v>11.75</v>
      </c>
      <c r="I1049" s="1">
        <v>1</v>
      </c>
      <c r="J1049" s="13">
        <v>28485</v>
      </c>
      <c r="M1049">
        <v>28181</v>
      </c>
    </row>
    <row r="1050" spans="3:13" x14ac:dyDescent="0.25">
      <c r="C1050" s="3">
        <v>1045</v>
      </c>
      <c r="D1050" s="1">
        <v>43</v>
      </c>
      <c r="E1050" s="1" t="s">
        <v>0</v>
      </c>
      <c r="F1050" s="1" t="s">
        <v>1</v>
      </c>
      <c r="G1050" s="1" t="s">
        <v>6</v>
      </c>
      <c r="H1050" s="1">
        <v>8.23</v>
      </c>
      <c r="I1050" s="1">
        <v>2</v>
      </c>
      <c r="J1050" s="13">
        <v>54702</v>
      </c>
      <c r="M1050">
        <v>4329</v>
      </c>
    </row>
    <row r="1051" spans="3:13" x14ac:dyDescent="0.25">
      <c r="C1051" s="3">
        <v>1046</v>
      </c>
      <c r="D1051" s="1">
        <v>43</v>
      </c>
      <c r="E1051" s="1" t="s">
        <v>0</v>
      </c>
      <c r="F1051" s="1" t="s">
        <v>4</v>
      </c>
      <c r="G1051" s="1" t="s">
        <v>7</v>
      </c>
      <c r="H1051" s="1">
        <v>8.36</v>
      </c>
      <c r="I1051" s="1">
        <v>0</v>
      </c>
      <c r="J1051" s="13">
        <v>18313</v>
      </c>
      <c r="M1051">
        <v>2909</v>
      </c>
    </row>
    <row r="1052" spans="3:13" x14ac:dyDescent="0.25">
      <c r="C1052" s="3">
        <v>1047</v>
      </c>
      <c r="D1052" s="1">
        <v>22</v>
      </c>
      <c r="E1052" s="1" t="s">
        <v>3</v>
      </c>
      <c r="F1052" s="1" t="s">
        <v>1</v>
      </c>
      <c r="G1052" s="1" t="s">
        <v>5</v>
      </c>
      <c r="H1052" s="1">
        <v>17.53</v>
      </c>
      <c r="I1052" s="1">
        <v>1</v>
      </c>
      <c r="J1052" s="13">
        <v>111253</v>
      </c>
      <c r="M1052">
        <v>48742</v>
      </c>
    </row>
    <row r="1053" spans="3:13" x14ac:dyDescent="0.25">
      <c r="C1053" s="3">
        <v>1048</v>
      </c>
      <c r="D1053" s="1">
        <v>25</v>
      </c>
      <c r="E1053" s="1" t="s">
        <v>0</v>
      </c>
      <c r="F1053" s="1" t="s">
        <v>4</v>
      </c>
      <c r="G1053" s="1" t="s">
        <v>6</v>
      </c>
      <c r="H1053" s="1">
        <v>7.5</v>
      </c>
      <c r="I1053" s="1">
        <v>1</v>
      </c>
      <c r="J1053" s="13">
        <v>8985</v>
      </c>
      <c r="M1053">
        <v>18004</v>
      </c>
    </row>
    <row r="1054" spans="3:13" x14ac:dyDescent="0.25">
      <c r="C1054" s="3">
        <v>1049</v>
      </c>
      <c r="D1054" s="1">
        <v>49</v>
      </c>
      <c r="E1054" s="1" t="s">
        <v>3</v>
      </c>
      <c r="F1054" s="1" t="s">
        <v>1</v>
      </c>
      <c r="G1054" s="1" t="s">
        <v>2</v>
      </c>
      <c r="H1054" s="1">
        <v>10.3</v>
      </c>
      <c r="I1054" s="1">
        <v>0</v>
      </c>
      <c r="J1054" s="13">
        <v>99319</v>
      </c>
      <c r="M1054">
        <v>13563</v>
      </c>
    </row>
    <row r="1055" spans="3:13" x14ac:dyDescent="0.25">
      <c r="C1055" s="3">
        <v>1050</v>
      </c>
      <c r="D1055" s="1">
        <v>44</v>
      </c>
      <c r="E1055" s="1" t="s">
        <v>0</v>
      </c>
      <c r="F1055" s="1" t="s">
        <v>4</v>
      </c>
      <c r="G1055" s="1" t="s">
        <v>6</v>
      </c>
      <c r="H1055" s="1">
        <v>12.32</v>
      </c>
      <c r="I1055" s="1">
        <v>1</v>
      </c>
      <c r="J1055" s="13">
        <v>20058</v>
      </c>
      <c r="M1055">
        <v>32453</v>
      </c>
    </row>
    <row r="1056" spans="3:13" x14ac:dyDescent="0.25">
      <c r="C1056" s="3">
        <v>1051</v>
      </c>
      <c r="D1056" s="1">
        <v>64</v>
      </c>
      <c r="E1056" s="1" t="s">
        <v>3</v>
      </c>
      <c r="F1056" s="1" t="s">
        <v>4</v>
      </c>
      <c r="G1056" s="1" t="s">
        <v>7</v>
      </c>
      <c r="H1056" s="1">
        <v>8.8000000000000007</v>
      </c>
      <c r="I1056" s="1">
        <v>0</v>
      </c>
      <c r="J1056" s="13">
        <v>35986</v>
      </c>
      <c r="M1056">
        <v>10600</v>
      </c>
    </row>
    <row r="1057" spans="3:13" x14ac:dyDescent="0.25">
      <c r="C1057" s="3">
        <v>1052</v>
      </c>
      <c r="D1057" s="1">
        <v>49</v>
      </c>
      <c r="E1057" s="1" t="s">
        <v>3</v>
      </c>
      <c r="F1057" s="1" t="s">
        <v>4</v>
      </c>
      <c r="G1057" s="1" t="s">
        <v>7</v>
      </c>
      <c r="H1057" s="1">
        <v>9.94</v>
      </c>
      <c r="I1057" s="1">
        <v>1</v>
      </c>
      <c r="J1057" s="13">
        <v>23220</v>
      </c>
      <c r="M1057">
        <v>32858</v>
      </c>
    </row>
    <row r="1058" spans="3:13" x14ac:dyDescent="0.25">
      <c r="C1058" s="3">
        <v>1053</v>
      </c>
      <c r="D1058" s="1">
        <v>47</v>
      </c>
      <c r="E1058" s="1" t="s">
        <v>3</v>
      </c>
      <c r="F1058" s="1" t="s">
        <v>1</v>
      </c>
      <c r="G1058" s="1" t="s">
        <v>2</v>
      </c>
      <c r="H1058" s="1">
        <v>9.93</v>
      </c>
      <c r="I1058" s="1">
        <v>3</v>
      </c>
      <c r="J1058" s="13">
        <v>63274</v>
      </c>
      <c r="M1058">
        <v>17625</v>
      </c>
    </row>
    <row r="1059" spans="3:13" x14ac:dyDescent="0.25">
      <c r="C1059" s="3">
        <v>1054</v>
      </c>
      <c r="D1059" s="1">
        <v>27</v>
      </c>
      <c r="E1059" s="1" t="s">
        <v>0</v>
      </c>
      <c r="F1059" s="1" t="s">
        <v>4</v>
      </c>
      <c r="G1059" s="1" t="s">
        <v>6</v>
      </c>
      <c r="H1059" s="1">
        <v>7.16</v>
      </c>
      <c r="I1059" s="1">
        <v>0</v>
      </c>
      <c r="J1059" s="13">
        <v>8384</v>
      </c>
      <c r="M1059">
        <v>23445</v>
      </c>
    </row>
    <row r="1060" spans="3:13" x14ac:dyDescent="0.25">
      <c r="C1060" s="3">
        <v>1055</v>
      </c>
      <c r="D1060" s="1">
        <v>55</v>
      </c>
      <c r="E1060" s="1" t="s">
        <v>3</v>
      </c>
      <c r="F1060" s="1" t="s">
        <v>4</v>
      </c>
      <c r="G1060" s="1" t="s">
        <v>6</v>
      </c>
      <c r="H1060" s="1">
        <v>9.2200000000000006</v>
      </c>
      <c r="I1060" s="1">
        <v>0</v>
      </c>
      <c r="J1060" s="13">
        <v>26486</v>
      </c>
      <c r="M1060">
        <v>55989</v>
      </c>
    </row>
    <row r="1061" spans="3:13" x14ac:dyDescent="0.25">
      <c r="C1061" s="3">
        <v>1056</v>
      </c>
      <c r="D1061" s="1">
        <v>48</v>
      </c>
      <c r="E1061" s="1" t="s">
        <v>0</v>
      </c>
      <c r="F1061" s="1" t="s">
        <v>4</v>
      </c>
      <c r="G1061" s="1" t="s">
        <v>2</v>
      </c>
      <c r="H1061" s="1">
        <v>9.6300000000000008</v>
      </c>
      <c r="I1061" s="1">
        <v>0</v>
      </c>
      <c r="J1061" s="13">
        <v>20694</v>
      </c>
      <c r="M1061">
        <v>25813</v>
      </c>
    </row>
    <row r="1062" spans="3:13" x14ac:dyDescent="0.25">
      <c r="C1062" s="3">
        <v>1057</v>
      </c>
      <c r="D1062" s="1">
        <v>45</v>
      </c>
      <c r="E1062" s="1" t="s">
        <v>0</v>
      </c>
      <c r="F1062" s="1" t="s">
        <v>4</v>
      </c>
      <c r="G1062" s="1" t="s">
        <v>5</v>
      </c>
      <c r="H1062" s="1">
        <v>10.6</v>
      </c>
      <c r="I1062" s="1">
        <v>0</v>
      </c>
      <c r="J1062" s="13">
        <v>44823</v>
      </c>
      <c r="M1062">
        <v>31573</v>
      </c>
    </row>
    <row r="1063" spans="3:13" x14ac:dyDescent="0.25">
      <c r="C1063" s="3">
        <v>1058</v>
      </c>
      <c r="D1063" s="1">
        <v>24</v>
      </c>
      <c r="E1063" s="1" t="s">
        <v>0</v>
      </c>
      <c r="F1063" s="1" t="s">
        <v>4</v>
      </c>
      <c r="G1063" s="1" t="s">
        <v>5</v>
      </c>
      <c r="H1063" s="1">
        <v>13.16</v>
      </c>
      <c r="I1063" s="1">
        <v>0</v>
      </c>
      <c r="J1063" s="13">
        <v>6202</v>
      </c>
      <c r="M1063">
        <v>26990</v>
      </c>
    </row>
    <row r="1064" spans="3:13" x14ac:dyDescent="0.25">
      <c r="C1064" s="3">
        <v>1059</v>
      </c>
      <c r="D1064" s="1">
        <v>32</v>
      </c>
      <c r="E1064" s="1" t="s">
        <v>3</v>
      </c>
      <c r="F1064" s="1" t="s">
        <v>4</v>
      </c>
      <c r="G1064" s="1" t="s">
        <v>6</v>
      </c>
      <c r="H1064" s="1">
        <v>11.27</v>
      </c>
      <c r="I1064" s="1">
        <v>1</v>
      </c>
      <c r="J1064" s="13">
        <v>11157</v>
      </c>
      <c r="M1064">
        <v>28529</v>
      </c>
    </row>
    <row r="1065" spans="3:13" x14ac:dyDescent="0.25">
      <c r="C1065" s="3">
        <v>1060</v>
      </c>
      <c r="D1065" s="1">
        <v>24</v>
      </c>
      <c r="E1065" s="1" t="s">
        <v>3</v>
      </c>
      <c r="F1065" s="1" t="s">
        <v>4</v>
      </c>
      <c r="G1065" s="1" t="s">
        <v>5</v>
      </c>
      <c r="H1065" s="1">
        <v>10.67</v>
      </c>
      <c r="I1065" s="1">
        <v>0</v>
      </c>
      <c r="J1065" s="13">
        <v>4954</v>
      </c>
      <c r="M1065">
        <v>26501</v>
      </c>
    </row>
    <row r="1066" spans="3:13" x14ac:dyDescent="0.25">
      <c r="C1066" s="3">
        <v>1061</v>
      </c>
      <c r="D1066" s="1">
        <v>57</v>
      </c>
      <c r="E1066" s="1" t="s">
        <v>3</v>
      </c>
      <c r="F1066" s="1" t="s">
        <v>4</v>
      </c>
      <c r="G1066" s="1" t="s">
        <v>5</v>
      </c>
      <c r="H1066" s="1">
        <v>9.31</v>
      </c>
      <c r="I1066" s="1">
        <v>1</v>
      </c>
      <c r="J1066" s="13">
        <v>28886</v>
      </c>
      <c r="M1066">
        <v>5515</v>
      </c>
    </row>
    <row r="1067" spans="3:13" x14ac:dyDescent="0.25">
      <c r="C1067" s="3">
        <v>1062</v>
      </c>
      <c r="D1067" s="1">
        <v>59</v>
      </c>
      <c r="E1067" s="1" t="s">
        <v>3</v>
      </c>
      <c r="F1067" s="1" t="s">
        <v>1</v>
      </c>
      <c r="G1067" s="1" t="s">
        <v>5</v>
      </c>
      <c r="H1067" s="1">
        <v>13.71</v>
      </c>
      <c r="I1067" s="1">
        <v>1</v>
      </c>
      <c r="J1067" s="13">
        <v>122426</v>
      </c>
      <c r="M1067">
        <v>4075</v>
      </c>
    </row>
    <row r="1068" spans="3:13" x14ac:dyDescent="0.25">
      <c r="C1068" s="3">
        <v>1063</v>
      </c>
      <c r="D1068" s="1">
        <v>36</v>
      </c>
      <c r="E1068" s="1" t="s">
        <v>3</v>
      </c>
      <c r="F1068" s="1" t="s">
        <v>4</v>
      </c>
      <c r="G1068" s="1" t="s">
        <v>6</v>
      </c>
      <c r="H1068" s="1">
        <v>9.5299999999999994</v>
      </c>
      <c r="I1068" s="1">
        <v>3</v>
      </c>
      <c r="J1068" s="13">
        <v>16370</v>
      </c>
      <c r="M1068">
        <v>5020</v>
      </c>
    </row>
    <row r="1069" spans="3:13" x14ac:dyDescent="0.25">
      <c r="C1069" s="3">
        <v>1064</v>
      </c>
      <c r="D1069" s="1">
        <v>29</v>
      </c>
      <c r="E1069" s="1" t="s">
        <v>0</v>
      </c>
      <c r="F1069" s="1" t="s">
        <v>4</v>
      </c>
      <c r="G1069" s="1" t="s">
        <v>2</v>
      </c>
      <c r="H1069" s="1">
        <v>8.5299999999999994</v>
      </c>
      <c r="I1069" s="1">
        <v>4</v>
      </c>
      <c r="J1069" s="13">
        <v>14272</v>
      </c>
    </row>
    <row r="1070" spans="3:13" x14ac:dyDescent="0.25">
      <c r="C1070" s="3">
        <v>1065</v>
      </c>
      <c r="D1070" s="1">
        <v>42</v>
      </c>
      <c r="E1070" s="1" t="s">
        <v>0</v>
      </c>
      <c r="F1070" s="1" t="s">
        <v>4</v>
      </c>
      <c r="G1070" s="1" t="s">
        <v>2</v>
      </c>
      <c r="H1070" s="1">
        <v>8.43</v>
      </c>
      <c r="I1070" s="1">
        <v>1</v>
      </c>
      <c r="J1070" s="13">
        <v>17614</v>
      </c>
    </row>
    <row r="1071" spans="3:13" x14ac:dyDescent="0.25">
      <c r="C1071" s="3">
        <v>1066</v>
      </c>
      <c r="D1071" s="1">
        <v>48</v>
      </c>
      <c r="E1071" s="1" t="s">
        <v>3</v>
      </c>
      <c r="F1071" s="1" t="s">
        <v>4</v>
      </c>
      <c r="G1071" s="1" t="s">
        <v>5</v>
      </c>
      <c r="H1071" s="1">
        <v>12.43</v>
      </c>
      <c r="I1071" s="1">
        <v>2</v>
      </c>
      <c r="J1071" s="13">
        <v>22445</v>
      </c>
    </row>
    <row r="1072" spans="3:13" x14ac:dyDescent="0.25">
      <c r="C1072" s="3">
        <v>1067</v>
      </c>
      <c r="D1072" s="1">
        <v>39</v>
      </c>
      <c r="E1072" s="1" t="s">
        <v>3</v>
      </c>
      <c r="F1072" s="1" t="s">
        <v>4</v>
      </c>
      <c r="G1072" s="1" t="s">
        <v>7</v>
      </c>
      <c r="H1072" s="1">
        <v>14.22</v>
      </c>
      <c r="I1072" s="1">
        <v>0</v>
      </c>
      <c r="J1072" s="13">
        <v>14394</v>
      </c>
    </row>
    <row r="1073" spans="3:10" x14ac:dyDescent="0.25">
      <c r="C1073" s="3">
        <v>1068</v>
      </c>
      <c r="D1073" s="1">
        <v>63</v>
      </c>
      <c r="E1073" s="1" t="s">
        <v>3</v>
      </c>
      <c r="F1073" s="1" t="s">
        <v>4</v>
      </c>
      <c r="G1073" s="1" t="s">
        <v>6</v>
      </c>
      <c r="H1073" s="1">
        <v>7.22</v>
      </c>
      <c r="I1073" s="1">
        <v>1</v>
      </c>
      <c r="J1073" s="13">
        <v>35875</v>
      </c>
    </row>
    <row r="1074" spans="3:10" x14ac:dyDescent="0.25">
      <c r="C1074" s="3">
        <v>1069</v>
      </c>
      <c r="D1074" s="1">
        <v>54</v>
      </c>
      <c r="E1074" s="1" t="s">
        <v>0</v>
      </c>
      <c r="F1074" s="1" t="s">
        <v>4</v>
      </c>
      <c r="G1074" s="1" t="s">
        <v>5</v>
      </c>
      <c r="H1074" s="1">
        <v>10.63</v>
      </c>
      <c r="I1074" s="1">
        <v>1</v>
      </c>
      <c r="J1074" s="13">
        <v>27322</v>
      </c>
    </row>
    <row r="1075" spans="3:10" x14ac:dyDescent="0.25">
      <c r="C1075" s="3">
        <v>1070</v>
      </c>
      <c r="D1075" s="1">
        <v>37</v>
      </c>
      <c r="E1075" s="1" t="s">
        <v>3</v>
      </c>
      <c r="F1075" s="1" t="s">
        <v>1</v>
      </c>
      <c r="G1075" s="1" t="s">
        <v>5</v>
      </c>
      <c r="H1075" s="1">
        <v>12.36</v>
      </c>
      <c r="I1075" s="1">
        <v>1</v>
      </c>
      <c r="J1075" s="13">
        <v>99679</v>
      </c>
    </row>
    <row r="1076" spans="3:10" x14ac:dyDescent="0.25">
      <c r="C1076" s="3">
        <v>1071</v>
      </c>
      <c r="D1076" s="1">
        <v>63</v>
      </c>
      <c r="E1076" s="1" t="s">
        <v>3</v>
      </c>
      <c r="F1076" s="1" t="s">
        <v>4</v>
      </c>
      <c r="G1076" s="1" t="s">
        <v>7</v>
      </c>
      <c r="H1076" s="1">
        <v>10.48</v>
      </c>
      <c r="I1076" s="1">
        <v>0</v>
      </c>
      <c r="J1076" s="13">
        <v>34936</v>
      </c>
    </row>
    <row r="1077" spans="3:10" x14ac:dyDescent="0.25">
      <c r="C1077" s="3">
        <v>1072</v>
      </c>
      <c r="D1077" s="1">
        <v>21</v>
      </c>
      <c r="E1077" s="1" t="s">
        <v>3</v>
      </c>
      <c r="F1077" s="1" t="s">
        <v>4</v>
      </c>
      <c r="G1077" s="1" t="s">
        <v>6</v>
      </c>
      <c r="H1077" s="1">
        <v>10.42</v>
      </c>
      <c r="I1077" s="1">
        <v>0</v>
      </c>
      <c r="J1077" s="13">
        <v>4774</v>
      </c>
    </row>
    <row r="1078" spans="3:10" x14ac:dyDescent="0.25">
      <c r="C1078" s="3">
        <v>1073</v>
      </c>
      <c r="D1078" s="1">
        <v>54</v>
      </c>
      <c r="E1078" s="1" t="s">
        <v>0</v>
      </c>
      <c r="F1078" s="1" t="s">
        <v>4</v>
      </c>
      <c r="G1078" s="1" t="s">
        <v>7</v>
      </c>
      <c r="H1078" s="1">
        <v>9.6300000000000008</v>
      </c>
      <c r="I1078" s="1">
        <v>2</v>
      </c>
      <c r="J1078" s="13">
        <v>30242</v>
      </c>
    </row>
    <row r="1079" spans="3:10" x14ac:dyDescent="0.25">
      <c r="C1079" s="3">
        <v>1074</v>
      </c>
      <c r="D1079" s="1">
        <v>60</v>
      </c>
      <c r="E1079" s="1" t="s">
        <v>0</v>
      </c>
      <c r="F1079" s="1" t="s">
        <v>4</v>
      </c>
      <c r="G1079" s="1" t="s">
        <v>7</v>
      </c>
      <c r="H1079" s="1">
        <v>6.11</v>
      </c>
      <c r="I1079" s="1">
        <v>0</v>
      </c>
      <c r="J1079" s="13">
        <v>33011</v>
      </c>
    </row>
    <row r="1080" spans="3:10" x14ac:dyDescent="0.25">
      <c r="C1080" s="3">
        <v>1075</v>
      </c>
      <c r="D1080" s="1">
        <v>32</v>
      </c>
      <c r="E1080" s="1" t="s">
        <v>0</v>
      </c>
      <c r="F1080" s="1" t="s">
        <v>4</v>
      </c>
      <c r="G1080" s="1" t="s">
        <v>5</v>
      </c>
      <c r="H1080" s="1">
        <v>9.86</v>
      </c>
      <c r="I1080" s="1">
        <v>1</v>
      </c>
      <c r="J1080" s="13">
        <v>11407</v>
      </c>
    </row>
    <row r="1081" spans="3:10" x14ac:dyDescent="0.25">
      <c r="C1081" s="3">
        <v>1076</v>
      </c>
      <c r="D1081" s="1">
        <v>47</v>
      </c>
      <c r="E1081" s="1" t="s">
        <v>0</v>
      </c>
      <c r="F1081" s="1" t="s">
        <v>4</v>
      </c>
      <c r="G1081" s="1" t="s">
        <v>2</v>
      </c>
      <c r="H1081" s="1">
        <v>10.67</v>
      </c>
      <c r="I1081" s="1">
        <v>1</v>
      </c>
      <c r="J1081" s="13">
        <v>21378</v>
      </c>
    </row>
    <row r="1082" spans="3:10" x14ac:dyDescent="0.25">
      <c r="C1082" s="3">
        <v>1077</v>
      </c>
      <c r="D1082" s="1">
        <v>21</v>
      </c>
      <c r="E1082" s="1" t="s">
        <v>3</v>
      </c>
      <c r="F1082" s="1" t="s">
        <v>4</v>
      </c>
      <c r="G1082" s="1" t="s">
        <v>7</v>
      </c>
      <c r="H1082" s="1">
        <v>8.68</v>
      </c>
      <c r="I1082" s="1">
        <v>0</v>
      </c>
      <c r="J1082" s="13">
        <v>5256</v>
      </c>
    </row>
    <row r="1083" spans="3:10" x14ac:dyDescent="0.25">
      <c r="C1083" s="3">
        <v>1078</v>
      </c>
      <c r="D1083" s="1">
        <v>28</v>
      </c>
      <c r="E1083" s="1" t="s">
        <v>3</v>
      </c>
      <c r="F1083" s="1" t="s">
        <v>1</v>
      </c>
      <c r="G1083" s="1" t="s">
        <v>5</v>
      </c>
      <c r="H1083" s="1">
        <v>10.56</v>
      </c>
      <c r="I1083" s="1">
        <v>0</v>
      </c>
      <c r="J1083" s="13">
        <v>86680</v>
      </c>
    </row>
    <row r="1084" spans="3:10" x14ac:dyDescent="0.25">
      <c r="C1084" s="3">
        <v>1079</v>
      </c>
      <c r="D1084" s="1">
        <v>63</v>
      </c>
      <c r="E1084" s="1" t="s">
        <v>3</v>
      </c>
      <c r="F1084" s="1" t="s">
        <v>4</v>
      </c>
      <c r="G1084" s="1" t="s">
        <v>5</v>
      </c>
      <c r="H1084" s="1">
        <v>11.22</v>
      </c>
      <c r="I1084" s="1">
        <v>3</v>
      </c>
      <c r="J1084" s="13">
        <v>37904</v>
      </c>
    </row>
    <row r="1085" spans="3:10" x14ac:dyDescent="0.25">
      <c r="C1085" s="3">
        <v>1080</v>
      </c>
      <c r="D1085" s="1">
        <v>18</v>
      </c>
      <c r="E1085" s="1" t="s">
        <v>3</v>
      </c>
      <c r="F1085" s="1" t="s">
        <v>4</v>
      </c>
      <c r="G1085" s="1" t="s">
        <v>5</v>
      </c>
      <c r="H1085" s="1">
        <v>7.26</v>
      </c>
      <c r="I1085" s="1">
        <v>2</v>
      </c>
      <c r="J1085" s="13">
        <v>29710</v>
      </c>
    </row>
    <row r="1086" spans="3:10" x14ac:dyDescent="0.25">
      <c r="C1086" s="3">
        <v>1081</v>
      </c>
      <c r="D1086" s="1">
        <v>32</v>
      </c>
      <c r="E1086" s="1" t="s">
        <v>3</v>
      </c>
      <c r="F1086" s="1" t="s">
        <v>4</v>
      </c>
      <c r="G1086" s="1" t="s">
        <v>6</v>
      </c>
      <c r="H1086" s="1">
        <v>9.2799999999999994</v>
      </c>
      <c r="I1086" s="1">
        <v>1</v>
      </c>
      <c r="J1086" s="13">
        <v>11136</v>
      </c>
    </row>
    <row r="1087" spans="3:10" x14ac:dyDescent="0.25">
      <c r="C1087" s="3">
        <v>1082</v>
      </c>
      <c r="D1087" s="1">
        <v>38</v>
      </c>
      <c r="E1087" s="1" t="s">
        <v>3</v>
      </c>
      <c r="F1087" s="1" t="s">
        <v>4</v>
      </c>
      <c r="G1087" s="1" t="s">
        <v>6</v>
      </c>
      <c r="H1087" s="1">
        <v>6.65</v>
      </c>
      <c r="I1087" s="1">
        <v>1</v>
      </c>
      <c r="J1087" s="13">
        <v>14640</v>
      </c>
    </row>
    <row r="1088" spans="3:10" x14ac:dyDescent="0.25">
      <c r="C1088" s="3">
        <v>1083</v>
      </c>
      <c r="D1088" s="1">
        <v>32</v>
      </c>
      <c r="E1088" s="1" t="s">
        <v>3</v>
      </c>
      <c r="F1088" s="1" t="s">
        <v>4</v>
      </c>
      <c r="G1088" s="1" t="s">
        <v>2</v>
      </c>
      <c r="H1088" s="1">
        <v>10.5</v>
      </c>
      <c r="I1088" s="1">
        <v>1</v>
      </c>
      <c r="J1088" s="13">
        <v>10191</v>
      </c>
    </row>
    <row r="1089" spans="3:10" x14ac:dyDescent="0.25">
      <c r="C1089" s="3">
        <v>1084</v>
      </c>
      <c r="D1089" s="1">
        <v>62</v>
      </c>
      <c r="E1089" s="1" t="s">
        <v>0</v>
      </c>
      <c r="F1089" s="1" t="s">
        <v>4</v>
      </c>
      <c r="G1089" s="1" t="s">
        <v>6</v>
      </c>
      <c r="H1089" s="1">
        <v>10.17</v>
      </c>
      <c r="I1089" s="1">
        <v>2</v>
      </c>
      <c r="J1089" s="13">
        <v>37549</v>
      </c>
    </row>
    <row r="1090" spans="3:10" x14ac:dyDescent="0.25">
      <c r="C1090" s="3">
        <v>1085</v>
      </c>
      <c r="D1090" s="1">
        <v>39</v>
      </c>
      <c r="E1090" s="1" t="s">
        <v>0</v>
      </c>
      <c r="F1090" s="1" t="s">
        <v>1</v>
      </c>
      <c r="G1090" s="1" t="s">
        <v>2</v>
      </c>
      <c r="H1090" s="1">
        <v>6.1</v>
      </c>
      <c r="I1090" s="1">
        <v>5</v>
      </c>
      <c r="J1090" s="13">
        <v>47558</v>
      </c>
    </row>
    <row r="1091" spans="3:10" x14ac:dyDescent="0.25">
      <c r="C1091" s="3">
        <v>1086</v>
      </c>
      <c r="D1091" s="1">
        <v>55</v>
      </c>
      <c r="E1091" s="1" t="s">
        <v>3</v>
      </c>
      <c r="F1091" s="1" t="s">
        <v>4</v>
      </c>
      <c r="G1091" s="1" t="s">
        <v>7</v>
      </c>
      <c r="H1091" s="1">
        <v>9.66</v>
      </c>
      <c r="I1091" s="1">
        <v>0</v>
      </c>
      <c r="J1091" s="13">
        <v>26991</v>
      </c>
    </row>
    <row r="1092" spans="3:10" x14ac:dyDescent="0.25">
      <c r="C1092" s="3">
        <v>1087</v>
      </c>
      <c r="D1092" s="1">
        <v>57</v>
      </c>
      <c r="E1092" s="1" t="s">
        <v>3</v>
      </c>
      <c r="F1092" s="1" t="s">
        <v>4</v>
      </c>
      <c r="G1092" s="1" t="s">
        <v>6</v>
      </c>
      <c r="H1092" s="1">
        <v>10.51</v>
      </c>
      <c r="I1092" s="1">
        <v>0</v>
      </c>
      <c r="J1092" s="13">
        <v>28383</v>
      </c>
    </row>
    <row r="1093" spans="3:10" x14ac:dyDescent="0.25">
      <c r="C1093" s="3">
        <v>1088</v>
      </c>
      <c r="D1093" s="1">
        <v>52</v>
      </c>
      <c r="E1093" s="1" t="s">
        <v>3</v>
      </c>
      <c r="F1093" s="1" t="s">
        <v>4</v>
      </c>
      <c r="G1093" s="1" t="s">
        <v>5</v>
      </c>
      <c r="H1093" s="1">
        <v>15.91</v>
      </c>
      <c r="I1093" s="1">
        <v>1</v>
      </c>
      <c r="J1093" s="13">
        <v>24372</v>
      </c>
    </row>
    <row r="1094" spans="3:10" x14ac:dyDescent="0.25">
      <c r="C1094" s="3">
        <v>1089</v>
      </c>
      <c r="D1094" s="1">
        <v>56</v>
      </c>
      <c r="E1094" s="1" t="s">
        <v>3</v>
      </c>
      <c r="F1094" s="1" t="s">
        <v>4</v>
      </c>
      <c r="G1094" s="1" t="s">
        <v>2</v>
      </c>
      <c r="H1094" s="1">
        <v>7.37</v>
      </c>
      <c r="I1094" s="1">
        <v>0</v>
      </c>
      <c r="J1094" s="13">
        <v>26443</v>
      </c>
    </row>
    <row r="1095" spans="3:10" x14ac:dyDescent="0.25">
      <c r="C1095" s="3">
        <v>1090</v>
      </c>
      <c r="D1095" s="1">
        <v>47</v>
      </c>
      <c r="E1095" s="1" t="s">
        <v>3</v>
      </c>
      <c r="F1095" s="1" t="s">
        <v>1</v>
      </c>
      <c r="G1095" s="1" t="s">
        <v>5</v>
      </c>
      <c r="H1095" s="1">
        <v>12.06</v>
      </c>
      <c r="I1095" s="1">
        <v>0</v>
      </c>
      <c r="J1095" s="13">
        <v>104190</v>
      </c>
    </row>
    <row r="1096" spans="3:10" x14ac:dyDescent="0.25">
      <c r="C1096" s="3">
        <v>1091</v>
      </c>
      <c r="D1096" s="1">
        <v>55</v>
      </c>
      <c r="E1096" s="1" t="s">
        <v>0</v>
      </c>
      <c r="F1096" s="1" t="s">
        <v>4</v>
      </c>
      <c r="G1096" s="1" t="s">
        <v>7</v>
      </c>
      <c r="H1096" s="1">
        <v>9.94</v>
      </c>
      <c r="I1096" s="1">
        <v>0</v>
      </c>
      <c r="J1096" s="13">
        <v>28216</v>
      </c>
    </row>
    <row r="1097" spans="3:10" x14ac:dyDescent="0.25">
      <c r="C1097" s="3">
        <v>1092</v>
      </c>
      <c r="D1097" s="1">
        <v>23</v>
      </c>
      <c r="E1097" s="1" t="s">
        <v>3</v>
      </c>
      <c r="F1097" s="1" t="s">
        <v>4</v>
      </c>
      <c r="G1097" s="1" t="s">
        <v>2</v>
      </c>
      <c r="H1097" s="1">
        <v>10.9</v>
      </c>
      <c r="I1097" s="1">
        <v>3</v>
      </c>
      <c r="J1097" s="13">
        <v>8979</v>
      </c>
    </row>
    <row r="1098" spans="3:10" x14ac:dyDescent="0.25">
      <c r="C1098" s="3">
        <v>1093</v>
      </c>
      <c r="D1098" s="1">
        <v>22</v>
      </c>
      <c r="E1098" s="1" t="s">
        <v>0</v>
      </c>
      <c r="F1098" s="1" t="s">
        <v>1</v>
      </c>
      <c r="G1098" s="1" t="s">
        <v>6</v>
      </c>
      <c r="H1098" s="1">
        <v>10.130000000000001</v>
      </c>
      <c r="I1098" s="1">
        <v>0</v>
      </c>
      <c r="J1098" s="13">
        <v>84769</v>
      </c>
    </row>
    <row r="1099" spans="3:10" x14ac:dyDescent="0.25">
      <c r="C1099" s="3">
        <v>1094</v>
      </c>
      <c r="D1099" s="1">
        <v>50</v>
      </c>
      <c r="E1099" s="1" t="s">
        <v>0</v>
      </c>
      <c r="F1099" s="1" t="s">
        <v>4</v>
      </c>
      <c r="G1099" s="1" t="s">
        <v>2</v>
      </c>
      <c r="H1099" s="1">
        <v>11.23</v>
      </c>
      <c r="I1099" s="1">
        <v>4</v>
      </c>
      <c r="J1099" s="13">
        <v>28248</v>
      </c>
    </row>
    <row r="1100" spans="3:10" x14ac:dyDescent="0.25">
      <c r="C1100" s="3">
        <v>1095</v>
      </c>
      <c r="D1100" s="1">
        <v>18</v>
      </c>
      <c r="E1100" s="1" t="s">
        <v>0</v>
      </c>
      <c r="F1100" s="1" t="s">
        <v>4</v>
      </c>
      <c r="G1100" s="1" t="s">
        <v>7</v>
      </c>
      <c r="H1100" s="1">
        <v>10.45</v>
      </c>
      <c r="I1100" s="1">
        <v>4</v>
      </c>
      <c r="J1100" s="13">
        <v>11403</v>
      </c>
    </row>
    <row r="1101" spans="3:10" x14ac:dyDescent="0.25">
      <c r="C1101" s="3">
        <v>1096</v>
      </c>
      <c r="D1101" s="1">
        <v>51</v>
      </c>
      <c r="E1101" s="1" t="s">
        <v>0</v>
      </c>
      <c r="F1101" s="1" t="s">
        <v>1</v>
      </c>
      <c r="G1101" s="1" t="s">
        <v>7</v>
      </c>
      <c r="H1101" s="1">
        <v>11.65</v>
      </c>
      <c r="I1101" s="1">
        <v>2</v>
      </c>
      <c r="J1101" s="13">
        <v>111603</v>
      </c>
    </row>
    <row r="1102" spans="3:10" x14ac:dyDescent="0.25">
      <c r="C1102" s="3">
        <v>1097</v>
      </c>
      <c r="D1102" s="1">
        <v>22</v>
      </c>
      <c r="E1102" s="1" t="s">
        <v>3</v>
      </c>
      <c r="F1102" s="1" t="s">
        <v>4</v>
      </c>
      <c r="G1102" s="1" t="s">
        <v>5</v>
      </c>
      <c r="H1102" s="1">
        <v>11.26</v>
      </c>
      <c r="I1102" s="1">
        <v>0</v>
      </c>
      <c r="J1102" s="13">
        <v>4187</v>
      </c>
    </row>
    <row r="1103" spans="3:10" x14ac:dyDescent="0.25">
      <c r="C1103" s="3">
        <v>1098</v>
      </c>
      <c r="D1103" s="1">
        <v>52</v>
      </c>
      <c r="E1103" s="1" t="s">
        <v>0</v>
      </c>
      <c r="F1103" s="1" t="s">
        <v>4</v>
      </c>
      <c r="G1103" s="1" t="s">
        <v>7</v>
      </c>
      <c r="H1103" s="1">
        <v>10.29</v>
      </c>
      <c r="I1103" s="1">
        <v>0</v>
      </c>
      <c r="J1103" s="13">
        <v>57614</v>
      </c>
    </row>
    <row r="1104" spans="3:10" x14ac:dyDescent="0.25">
      <c r="C1104" s="3">
        <v>1099</v>
      </c>
      <c r="D1104" s="1">
        <v>25</v>
      </c>
      <c r="E1104" s="1" t="s">
        <v>0</v>
      </c>
      <c r="F1104" s="1" t="s">
        <v>4</v>
      </c>
      <c r="G1104" s="1" t="s">
        <v>5</v>
      </c>
      <c r="H1104" s="1">
        <v>11.33</v>
      </c>
      <c r="I1104" s="1">
        <v>1</v>
      </c>
      <c r="J1104" s="13">
        <v>8068</v>
      </c>
    </row>
    <row r="1105" spans="3:10" x14ac:dyDescent="0.25">
      <c r="C1105" s="3">
        <v>1100</v>
      </c>
      <c r="D1105" s="1">
        <v>33</v>
      </c>
      <c r="E1105" s="1" t="s">
        <v>0</v>
      </c>
      <c r="F1105" s="1" t="s">
        <v>1</v>
      </c>
      <c r="G1105" s="1" t="s">
        <v>7</v>
      </c>
      <c r="H1105" s="1">
        <v>6.36</v>
      </c>
      <c r="I1105" s="1">
        <v>2</v>
      </c>
      <c r="J1105" s="13">
        <v>41941</v>
      </c>
    </row>
    <row r="1106" spans="3:10" x14ac:dyDescent="0.25">
      <c r="C1106" s="3">
        <v>1101</v>
      </c>
      <c r="D1106" s="1">
        <v>53</v>
      </c>
      <c r="E1106" s="1" t="s">
        <v>3</v>
      </c>
      <c r="F1106" s="1" t="s">
        <v>4</v>
      </c>
      <c r="G1106" s="1" t="s">
        <v>2</v>
      </c>
      <c r="H1106" s="1">
        <v>9.5299999999999994</v>
      </c>
      <c r="I1106" s="1">
        <v>3</v>
      </c>
      <c r="J1106" s="13">
        <v>28134</v>
      </c>
    </row>
    <row r="1107" spans="3:10" x14ac:dyDescent="0.25">
      <c r="C1107" s="3">
        <v>1102</v>
      </c>
      <c r="D1107" s="1">
        <v>29</v>
      </c>
      <c r="E1107" s="1" t="s">
        <v>3</v>
      </c>
      <c r="F1107" s="1" t="s">
        <v>4</v>
      </c>
      <c r="G1107" s="1" t="s">
        <v>5</v>
      </c>
      <c r="H1107" s="1">
        <v>12.98</v>
      </c>
      <c r="I1107" s="1">
        <v>1</v>
      </c>
      <c r="J1107" s="13">
        <v>8679</v>
      </c>
    </row>
    <row r="1108" spans="3:10" x14ac:dyDescent="0.25">
      <c r="C1108" s="3">
        <v>1103</v>
      </c>
      <c r="D1108" s="1">
        <v>58</v>
      </c>
      <c r="E1108" s="1" t="s">
        <v>3</v>
      </c>
      <c r="F1108" s="1" t="s">
        <v>4</v>
      </c>
      <c r="G1108" s="1" t="s">
        <v>5</v>
      </c>
      <c r="H1108" s="1">
        <v>12.03</v>
      </c>
      <c r="I1108" s="1">
        <v>0</v>
      </c>
      <c r="J1108" s="13">
        <v>28408</v>
      </c>
    </row>
    <row r="1109" spans="3:10" x14ac:dyDescent="0.25">
      <c r="C1109" s="3">
        <v>1104</v>
      </c>
      <c r="D1109" s="1">
        <v>37</v>
      </c>
      <c r="E1109" s="1" t="s">
        <v>3</v>
      </c>
      <c r="F1109" s="1" t="s">
        <v>4</v>
      </c>
      <c r="G1109" s="1" t="s">
        <v>2</v>
      </c>
      <c r="H1109" s="1">
        <v>9.93</v>
      </c>
      <c r="I1109" s="1">
        <v>0</v>
      </c>
      <c r="J1109" s="13">
        <v>51052</v>
      </c>
    </row>
    <row r="1110" spans="3:10" x14ac:dyDescent="0.25">
      <c r="C1110" s="3">
        <v>1105</v>
      </c>
      <c r="D1110" s="1">
        <v>54</v>
      </c>
      <c r="E1110" s="1" t="s">
        <v>0</v>
      </c>
      <c r="F1110" s="1" t="s">
        <v>4</v>
      </c>
      <c r="G1110" s="1" t="s">
        <v>5</v>
      </c>
      <c r="H1110" s="1">
        <v>10.41</v>
      </c>
      <c r="I1110" s="1">
        <v>0</v>
      </c>
      <c r="J1110" s="13">
        <v>25847</v>
      </c>
    </row>
    <row r="1111" spans="3:10" x14ac:dyDescent="0.25">
      <c r="C1111" s="3">
        <v>1106</v>
      </c>
      <c r="D1111" s="1">
        <v>49</v>
      </c>
      <c r="E1111" s="1" t="s">
        <v>0</v>
      </c>
      <c r="F1111" s="1" t="s">
        <v>4</v>
      </c>
      <c r="G1111" s="1" t="s">
        <v>6</v>
      </c>
      <c r="H1111" s="1">
        <v>9.98</v>
      </c>
      <c r="I1111" s="1">
        <v>0</v>
      </c>
      <c r="J1111" s="13">
        <v>22470</v>
      </c>
    </row>
    <row r="1112" spans="3:10" x14ac:dyDescent="0.25">
      <c r="C1112" s="3">
        <v>1107</v>
      </c>
      <c r="D1112" s="1">
        <v>50</v>
      </c>
      <c r="E1112" s="1" t="s">
        <v>0</v>
      </c>
      <c r="F1112" s="1" t="s">
        <v>4</v>
      </c>
      <c r="G1112" s="1" t="s">
        <v>6</v>
      </c>
      <c r="H1112" s="1">
        <v>8.74</v>
      </c>
      <c r="I1112" s="1">
        <v>2</v>
      </c>
      <c r="J1112" s="13">
        <v>26235</v>
      </c>
    </row>
    <row r="1113" spans="3:10" x14ac:dyDescent="0.25">
      <c r="C1113" s="3">
        <v>1108</v>
      </c>
      <c r="D1113" s="1">
        <v>26</v>
      </c>
      <c r="E1113" s="1" t="s">
        <v>3</v>
      </c>
      <c r="F1113" s="1" t="s">
        <v>4</v>
      </c>
      <c r="G1113" s="1" t="s">
        <v>2</v>
      </c>
      <c r="H1113" s="1">
        <v>10</v>
      </c>
      <c r="I1113" s="1">
        <v>1</v>
      </c>
      <c r="J1113" s="13">
        <v>7260</v>
      </c>
    </row>
    <row r="1114" spans="3:10" x14ac:dyDescent="0.25">
      <c r="C1114" s="3">
        <v>1109</v>
      </c>
      <c r="D1114" s="1">
        <v>45</v>
      </c>
      <c r="E1114" s="1" t="s">
        <v>3</v>
      </c>
      <c r="F1114" s="1" t="s">
        <v>4</v>
      </c>
      <c r="G1114" s="1" t="s">
        <v>5</v>
      </c>
      <c r="H1114" s="1">
        <v>6.78</v>
      </c>
      <c r="I1114" s="1">
        <v>3</v>
      </c>
      <c r="J1114" s="13">
        <v>21513</v>
      </c>
    </row>
    <row r="1115" spans="3:10" x14ac:dyDescent="0.25">
      <c r="C1115" s="3">
        <v>1110</v>
      </c>
      <c r="D1115" s="1">
        <v>54</v>
      </c>
      <c r="E1115" s="1" t="s">
        <v>0</v>
      </c>
      <c r="F1115" s="1" t="s">
        <v>4</v>
      </c>
      <c r="G1115" s="1" t="s">
        <v>7</v>
      </c>
      <c r="H1115" s="1">
        <v>10.77</v>
      </c>
      <c r="I1115" s="1">
        <v>1</v>
      </c>
      <c r="J1115" s="13">
        <v>28781</v>
      </c>
    </row>
    <row r="1116" spans="3:10" x14ac:dyDescent="0.25">
      <c r="C1116" s="3">
        <v>1111</v>
      </c>
      <c r="D1116" s="1">
        <v>38</v>
      </c>
      <c r="E1116" s="1" t="s">
        <v>3</v>
      </c>
      <c r="F1116" s="1" t="s">
        <v>1</v>
      </c>
      <c r="G1116" s="1" t="s">
        <v>5</v>
      </c>
      <c r="H1116" s="1">
        <v>12.8</v>
      </c>
      <c r="I1116" s="1">
        <v>3</v>
      </c>
      <c r="J1116" s="13">
        <v>104873</v>
      </c>
    </row>
    <row r="1117" spans="3:10" x14ac:dyDescent="0.25">
      <c r="C1117" s="3">
        <v>1112</v>
      </c>
      <c r="D1117" s="1">
        <v>48</v>
      </c>
      <c r="E1117" s="1" t="s">
        <v>0</v>
      </c>
      <c r="F1117" s="1" t="s">
        <v>1</v>
      </c>
      <c r="G1117" s="1" t="s">
        <v>5</v>
      </c>
      <c r="H1117" s="1">
        <v>8.6199999999999992</v>
      </c>
      <c r="I1117" s="1">
        <v>3</v>
      </c>
      <c r="J1117" s="13">
        <v>60452</v>
      </c>
    </row>
    <row r="1118" spans="3:10" x14ac:dyDescent="0.25">
      <c r="C1118" s="3">
        <v>1113</v>
      </c>
      <c r="D1118" s="1">
        <v>28</v>
      </c>
      <c r="E1118" s="1" t="s">
        <v>0</v>
      </c>
      <c r="F1118" s="1" t="s">
        <v>4</v>
      </c>
      <c r="G1118" s="1" t="s">
        <v>6</v>
      </c>
      <c r="H1118" s="1">
        <v>8.77</v>
      </c>
      <c r="I1118" s="1">
        <v>3</v>
      </c>
      <c r="J1118" s="13">
        <v>13280</v>
      </c>
    </row>
    <row r="1119" spans="3:10" x14ac:dyDescent="0.25">
      <c r="C1119" s="3">
        <v>1114</v>
      </c>
      <c r="D1119" s="1">
        <v>23</v>
      </c>
      <c r="E1119" s="1" t="s">
        <v>3</v>
      </c>
      <c r="F1119" s="1" t="s">
        <v>4</v>
      </c>
      <c r="G1119" s="1" t="s">
        <v>7</v>
      </c>
      <c r="H1119" s="1">
        <v>8.17</v>
      </c>
      <c r="I1119" s="1">
        <v>0</v>
      </c>
      <c r="J1119" s="13">
        <v>5990</v>
      </c>
    </row>
    <row r="1120" spans="3:10" x14ac:dyDescent="0.25">
      <c r="C1120" s="3">
        <v>1115</v>
      </c>
      <c r="D1120" s="1">
        <v>55</v>
      </c>
      <c r="E1120" s="1" t="s">
        <v>3</v>
      </c>
      <c r="F1120" s="1" t="s">
        <v>4</v>
      </c>
      <c r="G1120" s="1" t="s">
        <v>5</v>
      </c>
      <c r="H1120" s="1">
        <v>10.89</v>
      </c>
      <c r="I1120" s="1">
        <v>1</v>
      </c>
      <c r="J1120" s="13">
        <v>27019</v>
      </c>
    </row>
    <row r="1121" spans="3:10" x14ac:dyDescent="0.25">
      <c r="C1121" s="3">
        <v>1116</v>
      </c>
      <c r="D1121" s="1">
        <v>41</v>
      </c>
      <c r="E1121" s="1" t="s">
        <v>3</v>
      </c>
      <c r="F1121" s="1" t="s">
        <v>4</v>
      </c>
      <c r="G1121" s="1" t="s">
        <v>7</v>
      </c>
      <c r="H1121" s="1">
        <v>9.8800000000000008</v>
      </c>
      <c r="I1121" s="1">
        <v>5</v>
      </c>
      <c r="J1121" s="13">
        <v>23056</v>
      </c>
    </row>
    <row r="1122" spans="3:10" x14ac:dyDescent="0.25">
      <c r="C1122" s="3">
        <v>1117</v>
      </c>
      <c r="D1122" s="1">
        <v>25</v>
      </c>
      <c r="E1122" s="1" t="s">
        <v>3</v>
      </c>
      <c r="F1122" s="1" t="s">
        <v>1</v>
      </c>
      <c r="G1122" s="1" t="s">
        <v>5</v>
      </c>
      <c r="H1122" s="1">
        <v>11.11</v>
      </c>
      <c r="I1122" s="1">
        <v>2</v>
      </c>
      <c r="J1122" s="13">
        <v>90311</v>
      </c>
    </row>
    <row r="1123" spans="3:10" x14ac:dyDescent="0.25">
      <c r="C1123" s="3">
        <v>1118</v>
      </c>
      <c r="D1123" s="1">
        <v>33</v>
      </c>
      <c r="E1123" s="1" t="s">
        <v>3</v>
      </c>
      <c r="F1123" s="1" t="s">
        <v>1</v>
      </c>
      <c r="G1123" s="1" t="s">
        <v>5</v>
      </c>
      <c r="H1123" s="1">
        <v>11.92</v>
      </c>
      <c r="I1123" s="1">
        <v>1</v>
      </c>
      <c r="J1123" s="13">
        <v>95707</v>
      </c>
    </row>
    <row r="1124" spans="3:10" x14ac:dyDescent="0.25">
      <c r="C1124" s="3">
        <v>1119</v>
      </c>
      <c r="D1124" s="1">
        <v>30</v>
      </c>
      <c r="E1124" s="1" t="s">
        <v>0</v>
      </c>
      <c r="F1124" s="1" t="s">
        <v>4</v>
      </c>
      <c r="G1124" s="1" t="s">
        <v>6</v>
      </c>
      <c r="H1124" s="1">
        <v>6.65</v>
      </c>
      <c r="I1124" s="1">
        <v>3</v>
      </c>
      <c r="J1124" s="13">
        <v>14234</v>
      </c>
    </row>
    <row r="1125" spans="3:10" x14ac:dyDescent="0.25">
      <c r="C1125" s="3">
        <v>1120</v>
      </c>
      <c r="D1125" s="1">
        <v>23</v>
      </c>
      <c r="E1125" s="1" t="s">
        <v>0</v>
      </c>
      <c r="F1125" s="1" t="s">
        <v>1</v>
      </c>
      <c r="G1125" s="1" t="s">
        <v>2</v>
      </c>
      <c r="H1125" s="1">
        <v>10.47</v>
      </c>
      <c r="I1125" s="1">
        <v>0</v>
      </c>
      <c r="J1125" s="13">
        <v>85416</v>
      </c>
    </row>
    <row r="1126" spans="3:10" x14ac:dyDescent="0.25">
      <c r="C1126" s="3">
        <v>1121</v>
      </c>
      <c r="D1126" s="1">
        <v>46</v>
      </c>
      <c r="E1126" s="1" t="s">
        <v>3</v>
      </c>
      <c r="F1126" s="1" t="s">
        <v>4</v>
      </c>
      <c r="G1126" s="1" t="s">
        <v>5</v>
      </c>
      <c r="H1126" s="1">
        <v>12.72</v>
      </c>
      <c r="I1126" s="1">
        <v>2</v>
      </c>
      <c r="J1126" s="13">
        <v>20868</v>
      </c>
    </row>
    <row r="1127" spans="3:10" x14ac:dyDescent="0.25">
      <c r="C1127" s="3">
        <v>1122</v>
      </c>
      <c r="D1127" s="1">
        <v>53</v>
      </c>
      <c r="E1127" s="1" t="s">
        <v>0</v>
      </c>
      <c r="F1127" s="1" t="s">
        <v>1</v>
      </c>
      <c r="G1127" s="1" t="s">
        <v>6</v>
      </c>
      <c r="H1127" s="1">
        <v>12.29</v>
      </c>
      <c r="I1127" s="1">
        <v>3</v>
      </c>
      <c r="J1127" s="13">
        <v>116654</v>
      </c>
    </row>
    <row r="1128" spans="3:10" x14ac:dyDescent="0.25">
      <c r="C1128" s="3">
        <v>1123</v>
      </c>
      <c r="D1128" s="1">
        <v>27</v>
      </c>
      <c r="E1128" s="1" t="s">
        <v>0</v>
      </c>
      <c r="F1128" s="1" t="s">
        <v>4</v>
      </c>
      <c r="G1128" s="1" t="s">
        <v>7</v>
      </c>
      <c r="H1128" s="1">
        <v>10.8</v>
      </c>
      <c r="I1128" s="1">
        <v>1</v>
      </c>
      <c r="J1128" s="13">
        <v>47259</v>
      </c>
    </row>
    <row r="1129" spans="3:10" x14ac:dyDescent="0.25">
      <c r="C1129" s="3">
        <v>1124</v>
      </c>
      <c r="D1129" s="1">
        <v>23</v>
      </c>
      <c r="E1129" s="1" t="s">
        <v>0</v>
      </c>
      <c r="F1129" s="1" t="s">
        <v>1</v>
      </c>
      <c r="G1129" s="1" t="s">
        <v>7</v>
      </c>
      <c r="H1129" s="1">
        <v>14.25</v>
      </c>
      <c r="I1129" s="1">
        <v>1</v>
      </c>
      <c r="J1129" s="13">
        <v>102260</v>
      </c>
    </row>
    <row r="1130" spans="3:10" x14ac:dyDescent="0.25">
      <c r="C1130" s="3">
        <v>1125</v>
      </c>
      <c r="D1130" s="1">
        <v>63</v>
      </c>
      <c r="E1130" s="1" t="s">
        <v>0</v>
      </c>
      <c r="F1130" s="1" t="s">
        <v>4</v>
      </c>
      <c r="G1130" s="1" t="s">
        <v>6</v>
      </c>
      <c r="H1130" s="1">
        <v>8.36</v>
      </c>
      <c r="I1130" s="1">
        <v>0</v>
      </c>
      <c r="J1130" s="13">
        <v>35637</v>
      </c>
    </row>
    <row r="1131" spans="3:10" x14ac:dyDescent="0.25">
      <c r="C1131" s="3">
        <v>1126</v>
      </c>
      <c r="D1131" s="1">
        <v>55</v>
      </c>
      <c r="E1131" s="1" t="s">
        <v>3</v>
      </c>
      <c r="F1131" s="1" t="s">
        <v>4</v>
      </c>
      <c r="G1131" s="1" t="s">
        <v>2</v>
      </c>
      <c r="H1131" s="1">
        <v>9.9700000000000006</v>
      </c>
      <c r="I1131" s="1">
        <v>0</v>
      </c>
      <c r="J1131" s="13">
        <v>25537</v>
      </c>
    </row>
    <row r="1132" spans="3:10" x14ac:dyDescent="0.25">
      <c r="C1132" s="3">
        <v>1127</v>
      </c>
      <c r="D1132" s="1">
        <v>35</v>
      </c>
      <c r="E1132" s="1" t="s">
        <v>0</v>
      </c>
      <c r="F1132" s="1" t="s">
        <v>4</v>
      </c>
      <c r="G1132" s="1" t="s">
        <v>5</v>
      </c>
      <c r="H1132" s="1">
        <v>11.95</v>
      </c>
      <c r="I1132" s="1">
        <v>2</v>
      </c>
      <c r="J1132" s="13">
        <v>14591</v>
      </c>
    </row>
    <row r="1133" spans="3:10" x14ac:dyDescent="0.25">
      <c r="C1133" s="3">
        <v>1128</v>
      </c>
      <c r="D1133" s="1">
        <v>34</v>
      </c>
      <c r="E1133" s="1" t="s">
        <v>3</v>
      </c>
      <c r="F1133" s="1" t="s">
        <v>4</v>
      </c>
      <c r="G1133" s="1" t="s">
        <v>2</v>
      </c>
      <c r="H1133" s="1">
        <v>10.93</v>
      </c>
      <c r="I1133" s="1">
        <v>1</v>
      </c>
      <c r="J1133" s="13">
        <v>35896</v>
      </c>
    </row>
    <row r="1134" spans="3:10" x14ac:dyDescent="0.25">
      <c r="C1134" s="3">
        <v>1129</v>
      </c>
      <c r="D1134" s="1">
        <v>19</v>
      </c>
      <c r="E1134" s="1" t="s">
        <v>0</v>
      </c>
      <c r="F1134" s="1" t="s">
        <v>4</v>
      </c>
      <c r="G1134" s="1" t="s">
        <v>2</v>
      </c>
      <c r="H1134" s="1">
        <v>6.2</v>
      </c>
      <c r="I1134" s="1">
        <v>0</v>
      </c>
      <c r="J1134" s="13">
        <v>4322</v>
      </c>
    </row>
    <row r="1135" spans="3:10" x14ac:dyDescent="0.25">
      <c r="C1135" s="3">
        <v>1130</v>
      </c>
      <c r="D1135" s="1">
        <v>39</v>
      </c>
      <c r="E1135" s="1" t="s">
        <v>0</v>
      </c>
      <c r="F1135" s="1" t="s">
        <v>4</v>
      </c>
      <c r="G1135" s="1" t="s">
        <v>5</v>
      </c>
      <c r="H1135" s="1">
        <v>7.96</v>
      </c>
      <c r="I1135" s="1">
        <v>5</v>
      </c>
      <c r="J1135" s="13">
        <v>21456</v>
      </c>
    </row>
    <row r="1136" spans="3:10" x14ac:dyDescent="0.25">
      <c r="C1136" s="3">
        <v>1131</v>
      </c>
      <c r="D1136" s="1">
        <v>27</v>
      </c>
      <c r="E1136" s="1" t="s">
        <v>3</v>
      </c>
      <c r="F1136" s="1" t="s">
        <v>4</v>
      </c>
      <c r="G1136" s="1" t="s">
        <v>2</v>
      </c>
      <c r="H1136" s="1">
        <v>15.3</v>
      </c>
      <c r="I1136" s="1">
        <v>2</v>
      </c>
      <c r="J1136" s="13">
        <v>9234</v>
      </c>
    </row>
    <row r="1137" spans="3:10" x14ac:dyDescent="0.25">
      <c r="C1137" s="3">
        <v>1132</v>
      </c>
      <c r="D1137" s="1">
        <v>57</v>
      </c>
      <c r="E1137" s="1" t="s">
        <v>3</v>
      </c>
      <c r="F1137" s="1" t="s">
        <v>4</v>
      </c>
      <c r="G1137" s="1" t="s">
        <v>7</v>
      </c>
      <c r="H1137" s="1">
        <v>13.43</v>
      </c>
      <c r="I1137" s="1">
        <v>0</v>
      </c>
      <c r="J1137" s="13">
        <v>51773</v>
      </c>
    </row>
    <row r="1138" spans="3:10" x14ac:dyDescent="0.25">
      <c r="C1138" s="3">
        <v>1133</v>
      </c>
      <c r="D1138" s="1">
        <v>52</v>
      </c>
      <c r="E1138" s="1" t="s">
        <v>0</v>
      </c>
      <c r="F1138" s="1" t="s">
        <v>4</v>
      </c>
      <c r="G1138" s="1" t="s">
        <v>6</v>
      </c>
      <c r="H1138" s="1">
        <v>6.11</v>
      </c>
      <c r="I1138" s="1">
        <v>0</v>
      </c>
      <c r="J1138" s="13">
        <v>24978</v>
      </c>
    </row>
    <row r="1139" spans="3:10" x14ac:dyDescent="0.25">
      <c r="C1139" s="3">
        <v>1134</v>
      </c>
      <c r="D1139" s="1">
        <v>28</v>
      </c>
      <c r="E1139" s="1" t="s">
        <v>3</v>
      </c>
      <c r="F1139" s="1" t="s">
        <v>4</v>
      </c>
      <c r="G1139" s="1" t="s">
        <v>6</v>
      </c>
      <c r="H1139" s="1">
        <v>11.27</v>
      </c>
      <c r="I1139" s="1">
        <v>0</v>
      </c>
      <c r="J1139" s="13">
        <v>49183</v>
      </c>
    </row>
    <row r="1140" spans="3:10" x14ac:dyDescent="0.25">
      <c r="C1140" s="3">
        <v>1135</v>
      </c>
      <c r="D1140" s="1">
        <v>50</v>
      </c>
      <c r="E1140" s="1" t="s">
        <v>0</v>
      </c>
      <c r="F1140" s="1" t="s">
        <v>4</v>
      </c>
      <c r="G1140" s="1" t="s">
        <v>6</v>
      </c>
      <c r="H1140" s="1">
        <v>9.3699999999999992</v>
      </c>
      <c r="I1140" s="1">
        <v>3</v>
      </c>
      <c r="J1140" s="13">
        <v>27714</v>
      </c>
    </row>
    <row r="1141" spans="3:10" x14ac:dyDescent="0.25">
      <c r="C1141" s="3">
        <v>1136</v>
      </c>
      <c r="D1141" s="1">
        <v>44</v>
      </c>
      <c r="E1141" s="1" t="s">
        <v>0</v>
      </c>
      <c r="F1141" s="1" t="s">
        <v>4</v>
      </c>
      <c r="G1141" s="1" t="s">
        <v>2</v>
      </c>
      <c r="H1141" s="1">
        <v>8.33</v>
      </c>
      <c r="I1141" s="1">
        <v>1</v>
      </c>
      <c r="J1141" s="13">
        <v>19059</v>
      </c>
    </row>
    <row r="1142" spans="3:10" x14ac:dyDescent="0.25">
      <c r="C1142" s="3">
        <v>1137</v>
      </c>
      <c r="D1142" s="1">
        <v>26</v>
      </c>
      <c r="E1142" s="1" t="s">
        <v>0</v>
      </c>
      <c r="F1142" s="1" t="s">
        <v>4</v>
      </c>
      <c r="G1142" s="1" t="s">
        <v>6</v>
      </c>
      <c r="H1142" s="1">
        <v>7.41</v>
      </c>
      <c r="I1142" s="1">
        <v>0</v>
      </c>
      <c r="J1142" s="13">
        <v>7941</v>
      </c>
    </row>
    <row r="1143" spans="3:10" x14ac:dyDescent="0.25">
      <c r="C1143" s="3">
        <v>1138</v>
      </c>
      <c r="D1143" s="1">
        <v>33</v>
      </c>
      <c r="E1143" s="1" t="s">
        <v>3</v>
      </c>
      <c r="F1143" s="1" t="s">
        <v>4</v>
      </c>
      <c r="G1143" s="1" t="s">
        <v>5</v>
      </c>
      <c r="H1143" s="1">
        <v>10.08</v>
      </c>
      <c r="I1143" s="1">
        <v>0</v>
      </c>
      <c r="J1143" s="13">
        <v>9261</v>
      </c>
    </row>
    <row r="1144" spans="3:10" x14ac:dyDescent="0.25">
      <c r="C1144" s="3">
        <v>1139</v>
      </c>
      <c r="D1144" s="1">
        <v>19</v>
      </c>
      <c r="E1144" s="1" t="s">
        <v>0</v>
      </c>
      <c r="F1144" s="1" t="s">
        <v>1</v>
      </c>
      <c r="G1144" s="1" t="s">
        <v>6</v>
      </c>
      <c r="H1144" s="1">
        <v>10.83</v>
      </c>
      <c r="I1144" s="1">
        <v>0</v>
      </c>
      <c r="J1144" s="13">
        <v>92247</v>
      </c>
    </row>
    <row r="1145" spans="3:10" x14ac:dyDescent="0.25">
      <c r="C1145" s="3">
        <v>1140</v>
      </c>
      <c r="D1145" s="1">
        <v>50</v>
      </c>
      <c r="E1145" s="1" t="s">
        <v>3</v>
      </c>
      <c r="F1145" s="1" t="s">
        <v>4</v>
      </c>
      <c r="G1145" s="1" t="s">
        <v>5</v>
      </c>
      <c r="H1145" s="1">
        <v>12.36</v>
      </c>
      <c r="I1145" s="1">
        <v>1</v>
      </c>
      <c r="J1145" s="13">
        <v>22620</v>
      </c>
    </row>
    <row r="1146" spans="3:10" x14ac:dyDescent="0.25">
      <c r="C1146" s="3">
        <v>1141</v>
      </c>
      <c r="D1146" s="1">
        <v>41</v>
      </c>
      <c r="E1146" s="1" t="s">
        <v>0</v>
      </c>
      <c r="F1146" s="1" t="s">
        <v>4</v>
      </c>
      <c r="G1146" s="1" t="s">
        <v>2</v>
      </c>
      <c r="H1146" s="1">
        <v>10.87</v>
      </c>
      <c r="I1146" s="1">
        <v>3</v>
      </c>
      <c r="J1146" s="13">
        <v>19886</v>
      </c>
    </row>
    <row r="1147" spans="3:10" x14ac:dyDescent="0.25">
      <c r="C1147" s="3">
        <v>1142</v>
      </c>
      <c r="D1147" s="1">
        <v>52</v>
      </c>
      <c r="E1147" s="1" t="s">
        <v>0</v>
      </c>
      <c r="F1147" s="1" t="s">
        <v>4</v>
      </c>
      <c r="G1147" s="1" t="s">
        <v>5</v>
      </c>
      <c r="H1147" s="1">
        <v>8.2899999999999991</v>
      </c>
      <c r="I1147" s="1">
        <v>0</v>
      </c>
      <c r="J1147" s="13">
        <v>67795</v>
      </c>
    </row>
    <row r="1148" spans="3:10" x14ac:dyDescent="0.25">
      <c r="C1148" s="3">
        <v>1143</v>
      </c>
      <c r="D1148" s="1">
        <v>39</v>
      </c>
      <c r="E1148" s="1" t="s">
        <v>3</v>
      </c>
      <c r="F1148" s="1" t="s">
        <v>4</v>
      </c>
      <c r="G1148" s="1" t="s">
        <v>5</v>
      </c>
      <c r="H1148" s="1">
        <v>10.78</v>
      </c>
      <c r="I1148" s="1">
        <v>2</v>
      </c>
      <c r="J1148" s="13">
        <v>15845</v>
      </c>
    </row>
    <row r="1149" spans="3:10" x14ac:dyDescent="0.25">
      <c r="C1149" s="3">
        <v>1144</v>
      </c>
      <c r="D1149" s="1">
        <v>50</v>
      </c>
      <c r="E1149" s="1" t="s">
        <v>3</v>
      </c>
      <c r="F1149" s="1" t="s">
        <v>4</v>
      </c>
      <c r="G1149" s="1" t="s">
        <v>2</v>
      </c>
      <c r="H1149" s="1">
        <v>10.77</v>
      </c>
      <c r="I1149" s="1">
        <v>2</v>
      </c>
      <c r="J1149" s="13">
        <v>24076</v>
      </c>
    </row>
    <row r="1150" spans="3:10" x14ac:dyDescent="0.25">
      <c r="C1150" s="3">
        <v>1145</v>
      </c>
      <c r="D1150" s="1">
        <v>52</v>
      </c>
      <c r="E1150" s="1" t="s">
        <v>3</v>
      </c>
      <c r="F1150" s="1" t="s">
        <v>4</v>
      </c>
      <c r="G1150" s="1" t="s">
        <v>6</v>
      </c>
      <c r="H1150" s="1">
        <v>10.92</v>
      </c>
      <c r="I1150" s="1">
        <v>3</v>
      </c>
      <c r="J1150" s="13">
        <v>28223</v>
      </c>
    </row>
    <row r="1151" spans="3:10" x14ac:dyDescent="0.25">
      <c r="C1151" s="3">
        <v>1146</v>
      </c>
      <c r="D1151" s="1">
        <v>60</v>
      </c>
      <c r="E1151" s="1" t="s">
        <v>3</v>
      </c>
      <c r="F1151" s="1" t="s">
        <v>1</v>
      </c>
      <c r="G1151" s="1" t="s">
        <v>2</v>
      </c>
      <c r="H1151" s="1">
        <v>10.93</v>
      </c>
      <c r="I1151" s="1">
        <v>0</v>
      </c>
      <c r="J1151" s="13">
        <v>131477</v>
      </c>
    </row>
    <row r="1152" spans="3:10" x14ac:dyDescent="0.25">
      <c r="C1152" s="3">
        <v>1147</v>
      </c>
      <c r="D1152" s="1">
        <v>20</v>
      </c>
      <c r="E1152" s="1" t="s">
        <v>0</v>
      </c>
      <c r="F1152" s="1" t="s">
        <v>4</v>
      </c>
      <c r="G1152" s="1" t="s">
        <v>6</v>
      </c>
      <c r="H1152" s="1">
        <v>10.64</v>
      </c>
      <c r="I1152" s="1">
        <v>0</v>
      </c>
      <c r="J1152" s="13">
        <v>5654</v>
      </c>
    </row>
    <row r="1153" spans="3:10" x14ac:dyDescent="0.25">
      <c r="C1153" s="3">
        <v>1148</v>
      </c>
      <c r="D1153" s="1">
        <v>55</v>
      </c>
      <c r="E1153" s="1" t="s">
        <v>3</v>
      </c>
      <c r="F1153" s="1" t="s">
        <v>4</v>
      </c>
      <c r="G1153" s="1" t="s">
        <v>2</v>
      </c>
      <c r="H1153" s="1">
        <v>7.17</v>
      </c>
      <c r="I1153" s="1">
        <v>1</v>
      </c>
      <c r="J1153" s="13">
        <v>26980</v>
      </c>
    </row>
    <row r="1154" spans="3:10" x14ac:dyDescent="0.25">
      <c r="C1154" s="3">
        <v>1149</v>
      </c>
      <c r="D1154" s="1">
        <v>42</v>
      </c>
      <c r="E1154" s="1" t="s">
        <v>3</v>
      </c>
      <c r="F1154" s="1" t="s">
        <v>4</v>
      </c>
      <c r="G1154" s="1" t="s">
        <v>2</v>
      </c>
      <c r="H1154" s="1">
        <v>11.37</v>
      </c>
      <c r="I1154" s="1">
        <v>0</v>
      </c>
      <c r="J1154" s="13">
        <v>14949</v>
      </c>
    </row>
    <row r="1155" spans="3:10" x14ac:dyDescent="0.25">
      <c r="C1155" s="3">
        <v>1150</v>
      </c>
      <c r="D1155" s="1">
        <v>18</v>
      </c>
      <c r="E1155" s="1" t="s">
        <v>0</v>
      </c>
      <c r="F1155" s="1" t="s">
        <v>4</v>
      </c>
      <c r="G1155" s="1" t="s">
        <v>7</v>
      </c>
      <c r="H1155" s="1">
        <v>10.1</v>
      </c>
      <c r="I1155" s="1">
        <v>0</v>
      </c>
      <c r="J1155" s="13">
        <v>5509</v>
      </c>
    </row>
    <row r="1156" spans="3:10" x14ac:dyDescent="0.25">
      <c r="C1156" s="3">
        <v>1151</v>
      </c>
      <c r="D1156" s="1">
        <v>58</v>
      </c>
      <c r="E1156" s="1" t="s">
        <v>0</v>
      </c>
      <c r="F1156" s="1" t="s">
        <v>4</v>
      </c>
      <c r="G1156" s="1" t="s">
        <v>6</v>
      </c>
      <c r="H1156" s="1">
        <v>12.16</v>
      </c>
      <c r="I1156" s="1">
        <v>0</v>
      </c>
      <c r="J1156" s="13">
        <v>30590</v>
      </c>
    </row>
    <row r="1157" spans="3:10" x14ac:dyDescent="0.25">
      <c r="C1157" s="3">
        <v>1152</v>
      </c>
      <c r="D1157" s="1">
        <v>43</v>
      </c>
      <c r="E1157" s="1" t="s">
        <v>0</v>
      </c>
      <c r="F1157" s="1" t="s">
        <v>1</v>
      </c>
      <c r="G1157" s="1" t="s">
        <v>5</v>
      </c>
      <c r="H1157" s="1">
        <v>10.85</v>
      </c>
      <c r="I1157" s="1">
        <v>3</v>
      </c>
      <c r="J1157" s="13">
        <v>102353</v>
      </c>
    </row>
    <row r="1158" spans="3:10" x14ac:dyDescent="0.25">
      <c r="C1158" s="3">
        <v>1153</v>
      </c>
      <c r="D1158" s="1">
        <v>35</v>
      </c>
      <c r="E1158" s="1" t="s">
        <v>0</v>
      </c>
      <c r="F1158" s="1" t="s">
        <v>4</v>
      </c>
      <c r="G1158" s="1" t="s">
        <v>6</v>
      </c>
      <c r="H1158" s="1">
        <v>11.94</v>
      </c>
      <c r="I1158" s="1">
        <v>1</v>
      </c>
      <c r="J1158" s="13">
        <v>14076</v>
      </c>
    </row>
    <row r="1159" spans="3:10" x14ac:dyDescent="0.25">
      <c r="C1159" s="3">
        <v>1154</v>
      </c>
      <c r="D1159" s="1">
        <v>48</v>
      </c>
      <c r="E1159" s="1" t="s">
        <v>0</v>
      </c>
      <c r="F1159" s="1" t="s">
        <v>4</v>
      </c>
      <c r="G1159" s="1" t="s">
        <v>6</v>
      </c>
      <c r="H1159" s="1">
        <v>9.31</v>
      </c>
      <c r="I1159" s="1">
        <v>4</v>
      </c>
      <c r="J1159" s="13">
        <v>27538</v>
      </c>
    </row>
    <row r="1160" spans="3:10" x14ac:dyDescent="0.25">
      <c r="C1160" s="3">
        <v>1155</v>
      </c>
      <c r="D1160" s="1">
        <v>36</v>
      </c>
      <c r="E1160" s="1" t="s">
        <v>0</v>
      </c>
      <c r="F1160" s="1" t="s">
        <v>4</v>
      </c>
      <c r="G1160" s="1" t="s">
        <v>7</v>
      </c>
      <c r="H1160" s="1">
        <v>7.38</v>
      </c>
      <c r="I1160" s="1">
        <v>3</v>
      </c>
      <c r="J1160" s="13">
        <v>18071</v>
      </c>
    </row>
    <row r="1161" spans="3:10" x14ac:dyDescent="0.25">
      <c r="C1161" s="3">
        <v>1156</v>
      </c>
      <c r="D1161" s="1">
        <v>19</v>
      </c>
      <c r="E1161" s="1" t="s">
        <v>3</v>
      </c>
      <c r="F1161" s="1" t="s">
        <v>1</v>
      </c>
      <c r="G1161" s="1" t="s">
        <v>5</v>
      </c>
      <c r="H1161" s="1">
        <v>14.96</v>
      </c>
      <c r="I1161" s="1">
        <v>0</v>
      </c>
      <c r="J1161" s="13">
        <v>99307</v>
      </c>
    </row>
    <row r="1162" spans="3:10" x14ac:dyDescent="0.25">
      <c r="C1162" s="3">
        <v>1157</v>
      </c>
      <c r="D1162" s="1">
        <v>23</v>
      </c>
      <c r="E1162" s="1" t="s">
        <v>0</v>
      </c>
      <c r="F1162" s="1" t="s">
        <v>4</v>
      </c>
      <c r="G1162" s="1" t="s">
        <v>6</v>
      </c>
      <c r="H1162" s="1">
        <v>7.73</v>
      </c>
      <c r="I1162" s="1">
        <v>2</v>
      </c>
      <c r="J1162" s="13">
        <v>36065</v>
      </c>
    </row>
    <row r="1163" spans="3:10" x14ac:dyDescent="0.25">
      <c r="C1163" s="3">
        <v>1158</v>
      </c>
      <c r="D1163" s="1">
        <v>20</v>
      </c>
      <c r="E1163" s="1" t="s">
        <v>0</v>
      </c>
      <c r="F1163" s="1" t="s">
        <v>4</v>
      </c>
      <c r="G1163" s="1" t="s">
        <v>7</v>
      </c>
      <c r="H1163" s="1">
        <v>10.199999999999999</v>
      </c>
      <c r="I1163" s="1">
        <v>0</v>
      </c>
      <c r="J1163" s="13">
        <v>6149</v>
      </c>
    </row>
    <row r="1164" spans="3:10" x14ac:dyDescent="0.25">
      <c r="C1164" s="3">
        <v>1159</v>
      </c>
      <c r="D1164" s="1">
        <v>32</v>
      </c>
      <c r="E1164" s="1" t="s">
        <v>0</v>
      </c>
      <c r="F1164" s="1" t="s">
        <v>4</v>
      </c>
      <c r="G1164" s="1" t="s">
        <v>2</v>
      </c>
      <c r="H1164" s="1">
        <v>13.7</v>
      </c>
      <c r="I1164" s="1">
        <v>0</v>
      </c>
      <c r="J1164" s="13">
        <v>9975</v>
      </c>
    </row>
    <row r="1165" spans="3:10" x14ac:dyDescent="0.25">
      <c r="C1165" s="3">
        <v>1160</v>
      </c>
      <c r="D1165" s="1">
        <v>43</v>
      </c>
      <c r="E1165" s="1" t="s">
        <v>0</v>
      </c>
      <c r="F1165" s="1" t="s">
        <v>4</v>
      </c>
      <c r="G1165" s="1" t="s">
        <v>6</v>
      </c>
      <c r="H1165" s="1">
        <v>11.53</v>
      </c>
      <c r="I1165" s="1">
        <v>1</v>
      </c>
      <c r="J1165" s="13">
        <v>19318</v>
      </c>
    </row>
    <row r="1166" spans="3:10" x14ac:dyDescent="0.25">
      <c r="C1166" s="3">
        <v>1161</v>
      </c>
      <c r="D1166" s="1">
        <v>34</v>
      </c>
      <c r="E1166" s="1" t="s">
        <v>3</v>
      </c>
      <c r="F1166" s="1" t="s">
        <v>4</v>
      </c>
      <c r="G1166" s="1" t="s">
        <v>5</v>
      </c>
      <c r="H1166" s="1">
        <v>14.04</v>
      </c>
      <c r="I1166" s="1">
        <v>2</v>
      </c>
      <c r="J1166" s="13">
        <v>12810</v>
      </c>
    </row>
    <row r="1167" spans="3:10" x14ac:dyDescent="0.25">
      <c r="C1167" s="3">
        <v>1162</v>
      </c>
      <c r="D1167" s="1">
        <v>30</v>
      </c>
      <c r="E1167" s="1" t="s">
        <v>3</v>
      </c>
      <c r="F1167" s="1" t="s">
        <v>4</v>
      </c>
      <c r="G1167" s="1" t="s">
        <v>5</v>
      </c>
      <c r="H1167" s="1">
        <v>12.94</v>
      </c>
      <c r="I1167" s="1">
        <v>1</v>
      </c>
      <c r="J1167" s="13">
        <v>47408</v>
      </c>
    </row>
    <row r="1168" spans="3:10" x14ac:dyDescent="0.25">
      <c r="C1168" s="3">
        <v>1163</v>
      </c>
      <c r="D1168" s="1">
        <v>18</v>
      </c>
      <c r="E1168" s="1" t="s">
        <v>0</v>
      </c>
      <c r="F1168" s="1" t="s">
        <v>4</v>
      </c>
      <c r="G1168" s="1" t="s">
        <v>7</v>
      </c>
      <c r="H1168" s="1">
        <v>9.4</v>
      </c>
      <c r="I1168" s="1">
        <v>0</v>
      </c>
      <c r="J1168" s="13">
        <v>5502</v>
      </c>
    </row>
    <row r="1169" spans="3:10" x14ac:dyDescent="0.25">
      <c r="C1169" s="3">
        <v>1164</v>
      </c>
      <c r="D1169" s="1">
        <v>41</v>
      </c>
      <c r="E1169" s="1" t="s">
        <v>0</v>
      </c>
      <c r="F1169" s="1" t="s">
        <v>4</v>
      </c>
      <c r="G1169" s="1" t="s">
        <v>6</v>
      </c>
      <c r="H1169" s="1">
        <v>9.44</v>
      </c>
      <c r="I1169" s="1">
        <v>1</v>
      </c>
      <c r="J1169" s="13">
        <v>17884</v>
      </c>
    </row>
    <row r="1170" spans="3:10" x14ac:dyDescent="0.25">
      <c r="C1170" s="3">
        <v>1165</v>
      </c>
      <c r="D1170" s="1">
        <v>35</v>
      </c>
      <c r="E1170" s="1" t="s">
        <v>0</v>
      </c>
      <c r="F1170" s="1" t="s">
        <v>4</v>
      </c>
      <c r="G1170" s="1" t="s">
        <v>7</v>
      </c>
      <c r="H1170" s="1">
        <v>8.7100000000000009</v>
      </c>
      <c r="I1170" s="1">
        <v>0</v>
      </c>
      <c r="J1170" s="13">
        <v>13070</v>
      </c>
    </row>
    <row r="1171" spans="3:10" x14ac:dyDescent="0.25">
      <c r="C1171" s="3">
        <v>1166</v>
      </c>
      <c r="D1171" s="1">
        <v>57</v>
      </c>
      <c r="E1171" s="1" t="s">
        <v>3</v>
      </c>
      <c r="F1171" s="1" t="s">
        <v>4</v>
      </c>
      <c r="G1171" s="1" t="s">
        <v>5</v>
      </c>
      <c r="H1171" s="1">
        <v>13.46</v>
      </c>
      <c r="I1171" s="1">
        <v>0</v>
      </c>
      <c r="J1171" s="13">
        <v>27456</v>
      </c>
    </row>
    <row r="1172" spans="3:10" x14ac:dyDescent="0.25">
      <c r="C1172" s="3">
        <v>1167</v>
      </c>
      <c r="D1172" s="1">
        <v>29</v>
      </c>
      <c r="E1172" s="1" t="s">
        <v>0</v>
      </c>
      <c r="F1172" s="1" t="s">
        <v>4</v>
      </c>
      <c r="G1172" s="1" t="s">
        <v>2</v>
      </c>
      <c r="H1172" s="1">
        <v>8.1999999999999993</v>
      </c>
      <c r="I1172" s="1">
        <v>2</v>
      </c>
      <c r="J1172" s="13">
        <v>11324</v>
      </c>
    </row>
    <row r="1173" spans="3:10" x14ac:dyDescent="0.25">
      <c r="C1173" s="3">
        <v>1168</v>
      </c>
      <c r="D1173" s="1">
        <v>32</v>
      </c>
      <c r="E1173" s="1" t="s">
        <v>3</v>
      </c>
      <c r="F1173" s="1" t="s">
        <v>4</v>
      </c>
      <c r="G1173" s="1" t="s">
        <v>2</v>
      </c>
      <c r="H1173" s="1">
        <v>11.73</v>
      </c>
      <c r="I1173" s="1">
        <v>2</v>
      </c>
      <c r="J1173" s="13">
        <v>11677</v>
      </c>
    </row>
    <row r="1174" spans="3:10" x14ac:dyDescent="0.25">
      <c r="C1174" s="3">
        <v>1169</v>
      </c>
      <c r="D1174" s="1">
        <v>37</v>
      </c>
      <c r="E1174" s="1" t="s">
        <v>0</v>
      </c>
      <c r="F1174" s="1" t="s">
        <v>4</v>
      </c>
      <c r="G1174" s="1" t="s">
        <v>6</v>
      </c>
      <c r="H1174" s="1">
        <v>11.37</v>
      </c>
      <c r="I1174" s="1">
        <v>1</v>
      </c>
      <c r="J1174" s="13">
        <v>15281</v>
      </c>
    </row>
    <row r="1175" spans="3:10" x14ac:dyDescent="0.25">
      <c r="C1175" s="3">
        <v>1170</v>
      </c>
      <c r="D1175" s="1">
        <v>18</v>
      </c>
      <c r="E1175" s="1" t="s">
        <v>3</v>
      </c>
      <c r="F1175" s="1" t="s">
        <v>1</v>
      </c>
      <c r="G1175" s="1" t="s">
        <v>7</v>
      </c>
      <c r="H1175" s="1">
        <v>9.1199999999999992</v>
      </c>
      <c r="I1175" s="1">
        <v>1</v>
      </c>
      <c r="J1175" s="13">
        <v>42947</v>
      </c>
    </row>
    <row r="1176" spans="3:10" x14ac:dyDescent="0.25">
      <c r="C1176" s="3">
        <v>1171</v>
      </c>
      <c r="D1176" s="1">
        <v>43</v>
      </c>
      <c r="E1176" s="1" t="s">
        <v>0</v>
      </c>
      <c r="F1176" s="1" t="s">
        <v>1</v>
      </c>
      <c r="G1176" s="1" t="s">
        <v>2</v>
      </c>
      <c r="H1176" s="1">
        <v>8.9</v>
      </c>
      <c r="I1176" s="1">
        <v>2</v>
      </c>
      <c r="J1176" s="13">
        <v>56196</v>
      </c>
    </row>
    <row r="1177" spans="3:10" x14ac:dyDescent="0.25">
      <c r="C1177" s="3">
        <v>1172</v>
      </c>
      <c r="D1177" s="1">
        <v>56</v>
      </c>
      <c r="E1177" s="1" t="s">
        <v>0</v>
      </c>
      <c r="F1177" s="1" t="s">
        <v>4</v>
      </c>
      <c r="G1177" s="1" t="s">
        <v>5</v>
      </c>
      <c r="H1177" s="1">
        <v>13.97</v>
      </c>
      <c r="I1177" s="1">
        <v>0</v>
      </c>
      <c r="J1177" s="13">
        <v>27734</v>
      </c>
    </row>
    <row r="1178" spans="3:10" x14ac:dyDescent="0.25">
      <c r="C1178" s="3">
        <v>1173</v>
      </c>
      <c r="D1178" s="1">
        <v>38</v>
      </c>
      <c r="E1178" s="1" t="s">
        <v>3</v>
      </c>
      <c r="F1178" s="1" t="s">
        <v>4</v>
      </c>
      <c r="G1178" s="1" t="s">
        <v>6</v>
      </c>
      <c r="H1178" s="1">
        <v>9.75</v>
      </c>
      <c r="I1178" s="1">
        <v>2</v>
      </c>
      <c r="J1178" s="13">
        <v>16145</v>
      </c>
    </row>
    <row r="1179" spans="3:10" x14ac:dyDescent="0.25">
      <c r="C1179" s="3">
        <v>1174</v>
      </c>
      <c r="D1179" s="1">
        <v>29</v>
      </c>
      <c r="E1179" s="1" t="s">
        <v>3</v>
      </c>
      <c r="F1179" s="1" t="s">
        <v>4</v>
      </c>
      <c r="G1179" s="1" t="s">
        <v>6</v>
      </c>
      <c r="H1179" s="1">
        <v>10.7</v>
      </c>
      <c r="I1179" s="1">
        <v>2</v>
      </c>
      <c r="J1179" s="13">
        <v>11085</v>
      </c>
    </row>
    <row r="1180" spans="3:10" x14ac:dyDescent="0.25">
      <c r="C1180" s="3">
        <v>1175</v>
      </c>
      <c r="D1180" s="1">
        <v>22</v>
      </c>
      <c r="E1180" s="1" t="s">
        <v>0</v>
      </c>
      <c r="F1180" s="1" t="s">
        <v>4</v>
      </c>
      <c r="G1180" s="1" t="s">
        <v>2</v>
      </c>
      <c r="H1180" s="1">
        <v>9.0299999999999994</v>
      </c>
      <c r="I1180" s="1">
        <v>0</v>
      </c>
      <c r="J1180" s="13">
        <v>5386</v>
      </c>
    </row>
    <row r="1181" spans="3:10" x14ac:dyDescent="0.25">
      <c r="C1181" s="3">
        <v>1176</v>
      </c>
      <c r="D1181" s="1">
        <v>52</v>
      </c>
      <c r="E1181" s="1" t="s">
        <v>0</v>
      </c>
      <c r="F1181" s="1" t="s">
        <v>1</v>
      </c>
      <c r="G1181" s="1" t="s">
        <v>6</v>
      </c>
      <c r="H1181" s="1">
        <v>8.0399999999999991</v>
      </c>
      <c r="I1181" s="1">
        <v>1</v>
      </c>
      <c r="J1181" s="13">
        <v>59719</v>
      </c>
    </row>
    <row r="1182" spans="3:10" x14ac:dyDescent="0.25">
      <c r="C1182" s="3">
        <v>1177</v>
      </c>
      <c r="D1182" s="1">
        <v>40</v>
      </c>
      <c r="E1182" s="1" t="s">
        <v>0</v>
      </c>
      <c r="F1182" s="1" t="s">
        <v>4</v>
      </c>
      <c r="G1182" s="1" t="s">
        <v>2</v>
      </c>
      <c r="H1182" s="1">
        <v>9.1300000000000008</v>
      </c>
      <c r="I1182" s="1">
        <v>1</v>
      </c>
      <c r="J1182" s="13">
        <v>16242</v>
      </c>
    </row>
    <row r="1183" spans="3:10" x14ac:dyDescent="0.25">
      <c r="C1183" s="3">
        <v>1178</v>
      </c>
      <c r="D1183" s="1">
        <v>23</v>
      </c>
      <c r="E1183" s="1" t="s">
        <v>0</v>
      </c>
      <c r="F1183" s="1" t="s">
        <v>4</v>
      </c>
      <c r="G1183" s="1" t="s">
        <v>7</v>
      </c>
      <c r="H1183" s="1">
        <v>11.62</v>
      </c>
      <c r="I1183" s="1">
        <v>0</v>
      </c>
      <c r="J1183" s="13">
        <v>7249</v>
      </c>
    </row>
    <row r="1184" spans="3:10" x14ac:dyDescent="0.25">
      <c r="C1184" s="3">
        <v>1179</v>
      </c>
      <c r="D1184" s="1">
        <v>31</v>
      </c>
      <c r="E1184" s="1" t="s">
        <v>3</v>
      </c>
      <c r="F1184" s="1" t="s">
        <v>1</v>
      </c>
      <c r="G1184" s="1" t="s">
        <v>5</v>
      </c>
      <c r="H1184" s="1">
        <v>9.94</v>
      </c>
      <c r="I1184" s="1">
        <v>0</v>
      </c>
      <c r="J1184" s="13">
        <v>48376</v>
      </c>
    </row>
    <row r="1185" spans="3:10" x14ac:dyDescent="0.25">
      <c r="C1185" s="3">
        <v>1180</v>
      </c>
      <c r="D1185" s="1">
        <v>42</v>
      </c>
      <c r="E1185" s="1" t="s">
        <v>0</v>
      </c>
      <c r="F1185" s="1" t="s">
        <v>4</v>
      </c>
      <c r="G1185" s="1" t="s">
        <v>7</v>
      </c>
      <c r="H1185" s="1">
        <v>13.78</v>
      </c>
      <c r="I1185" s="1">
        <v>1</v>
      </c>
      <c r="J1185" s="13">
        <v>19127</v>
      </c>
    </row>
    <row r="1186" spans="3:10" x14ac:dyDescent="0.25">
      <c r="C1186" s="3">
        <v>1181</v>
      </c>
      <c r="D1186" s="1">
        <v>24</v>
      </c>
      <c r="E1186" s="1" t="s">
        <v>0</v>
      </c>
      <c r="F1186" s="1" t="s">
        <v>4</v>
      </c>
      <c r="G1186" s="1" t="s">
        <v>6</v>
      </c>
      <c r="H1186" s="1">
        <v>9.98</v>
      </c>
      <c r="I1186" s="1">
        <v>0</v>
      </c>
      <c r="J1186" s="13">
        <v>7127</v>
      </c>
    </row>
    <row r="1187" spans="3:10" x14ac:dyDescent="0.25">
      <c r="C1187" s="3">
        <v>1182</v>
      </c>
      <c r="D1187" s="1">
        <v>25</v>
      </c>
      <c r="E1187" s="1" t="s">
        <v>0</v>
      </c>
      <c r="F1187" s="1" t="s">
        <v>4</v>
      </c>
      <c r="G1187" s="1" t="s">
        <v>2</v>
      </c>
      <c r="H1187" s="1">
        <v>10.1</v>
      </c>
      <c r="I1187" s="1">
        <v>0</v>
      </c>
      <c r="J1187" s="13">
        <v>6582</v>
      </c>
    </row>
    <row r="1188" spans="3:10" x14ac:dyDescent="0.25">
      <c r="C1188" s="3">
        <v>1183</v>
      </c>
      <c r="D1188" s="1">
        <v>48</v>
      </c>
      <c r="E1188" s="1" t="s">
        <v>0</v>
      </c>
      <c r="F1188" s="1" t="s">
        <v>4</v>
      </c>
      <c r="G1188" s="1" t="s">
        <v>7</v>
      </c>
      <c r="H1188" s="1">
        <v>9.1199999999999992</v>
      </c>
      <c r="I1188" s="1">
        <v>1</v>
      </c>
      <c r="J1188" s="13">
        <v>23618</v>
      </c>
    </row>
    <row r="1189" spans="3:10" x14ac:dyDescent="0.25">
      <c r="C1189" s="3">
        <v>1184</v>
      </c>
      <c r="D1189" s="1">
        <v>23</v>
      </c>
      <c r="E1189" s="1" t="s">
        <v>0</v>
      </c>
      <c r="F1189" s="1" t="s">
        <v>1</v>
      </c>
      <c r="G1189" s="1" t="s">
        <v>5</v>
      </c>
      <c r="H1189" s="1">
        <v>9.5</v>
      </c>
      <c r="I1189" s="1">
        <v>1</v>
      </c>
      <c r="J1189" s="13">
        <v>45821</v>
      </c>
    </row>
    <row r="1190" spans="3:10" x14ac:dyDescent="0.25">
      <c r="C1190" s="3">
        <v>1185</v>
      </c>
      <c r="D1190" s="1">
        <v>45</v>
      </c>
      <c r="E1190" s="1" t="s">
        <v>3</v>
      </c>
      <c r="F1190" s="1" t="s">
        <v>4</v>
      </c>
      <c r="G1190" s="1" t="s">
        <v>7</v>
      </c>
      <c r="H1190" s="1">
        <v>7.85</v>
      </c>
      <c r="I1190" s="1">
        <v>2</v>
      </c>
      <c r="J1190" s="13">
        <v>21510</v>
      </c>
    </row>
    <row r="1191" spans="3:10" x14ac:dyDescent="0.25">
      <c r="C1191" s="3">
        <v>1186</v>
      </c>
      <c r="D1191" s="1">
        <v>20</v>
      </c>
      <c r="E1191" s="1" t="s">
        <v>3</v>
      </c>
      <c r="F1191" s="1" t="s">
        <v>1</v>
      </c>
      <c r="G1191" s="1" t="s">
        <v>6</v>
      </c>
      <c r="H1191" s="1">
        <v>11.88</v>
      </c>
      <c r="I1191" s="1">
        <v>3</v>
      </c>
      <c r="J1191" s="13">
        <v>93663</v>
      </c>
    </row>
    <row r="1192" spans="3:10" x14ac:dyDescent="0.25">
      <c r="C1192" s="3">
        <v>1187</v>
      </c>
      <c r="D1192" s="1">
        <v>62</v>
      </c>
      <c r="E1192" s="1" t="s">
        <v>0</v>
      </c>
      <c r="F1192" s="1" t="s">
        <v>4</v>
      </c>
      <c r="G1192" s="1" t="s">
        <v>6</v>
      </c>
      <c r="H1192" s="1">
        <v>10.89</v>
      </c>
      <c r="I1192" s="1">
        <v>0</v>
      </c>
      <c r="J1192" s="13">
        <v>34612</v>
      </c>
    </row>
    <row r="1193" spans="3:10" x14ac:dyDescent="0.25">
      <c r="C1193" s="3">
        <v>1188</v>
      </c>
      <c r="D1193" s="1">
        <v>43</v>
      </c>
      <c r="E1193" s="1" t="s">
        <v>0</v>
      </c>
      <c r="F1193" s="1" t="s">
        <v>1</v>
      </c>
      <c r="G1193" s="1" t="s">
        <v>7</v>
      </c>
      <c r="H1193" s="1">
        <v>8.42</v>
      </c>
      <c r="I1193" s="1">
        <v>1</v>
      </c>
      <c r="J1193" s="13">
        <v>54428</v>
      </c>
    </row>
    <row r="1194" spans="3:10" x14ac:dyDescent="0.25">
      <c r="C1194" s="3">
        <v>1189</v>
      </c>
      <c r="D1194" s="1">
        <v>23</v>
      </c>
      <c r="E1194" s="1" t="s">
        <v>0</v>
      </c>
      <c r="F1194" s="1" t="s">
        <v>4</v>
      </c>
      <c r="G1194" s="1" t="s">
        <v>2</v>
      </c>
      <c r="H1194" s="1">
        <v>9.33</v>
      </c>
      <c r="I1194" s="1">
        <v>0</v>
      </c>
      <c r="J1194" s="13">
        <v>32817</v>
      </c>
    </row>
    <row r="1195" spans="3:10" x14ac:dyDescent="0.25">
      <c r="C1195" s="3">
        <v>1190</v>
      </c>
      <c r="D1195" s="1">
        <v>31</v>
      </c>
      <c r="E1195" s="1" t="s">
        <v>0</v>
      </c>
      <c r="F1195" s="1" t="s">
        <v>4</v>
      </c>
      <c r="G1195" s="1" t="s">
        <v>6</v>
      </c>
      <c r="H1195" s="1">
        <v>10.92</v>
      </c>
      <c r="I1195" s="1">
        <v>2</v>
      </c>
      <c r="J1195" s="13">
        <v>13319</v>
      </c>
    </row>
    <row r="1196" spans="3:10" x14ac:dyDescent="0.25">
      <c r="C1196" s="3">
        <v>1191</v>
      </c>
      <c r="D1196" s="1">
        <v>41</v>
      </c>
      <c r="E1196" s="1" t="s">
        <v>0</v>
      </c>
      <c r="F1196" s="1" t="s">
        <v>4</v>
      </c>
      <c r="G1196" s="1" t="s">
        <v>7</v>
      </c>
      <c r="H1196" s="1">
        <v>7.25</v>
      </c>
      <c r="I1196" s="1">
        <v>1</v>
      </c>
      <c r="J1196" s="13">
        <v>34314</v>
      </c>
    </row>
    <row r="1197" spans="3:10" x14ac:dyDescent="0.25">
      <c r="C1197" s="3">
        <v>1192</v>
      </c>
      <c r="D1197" s="1">
        <v>58</v>
      </c>
      <c r="E1197" s="1" t="s">
        <v>0</v>
      </c>
      <c r="F1197" s="1" t="s">
        <v>4</v>
      </c>
      <c r="G1197" s="1" t="s">
        <v>7</v>
      </c>
      <c r="H1197" s="1">
        <v>10.8</v>
      </c>
      <c r="I1197" s="1">
        <v>1</v>
      </c>
      <c r="J1197" s="13">
        <v>32548</v>
      </c>
    </row>
    <row r="1198" spans="3:10" x14ac:dyDescent="0.25">
      <c r="C1198" s="3">
        <v>1193</v>
      </c>
      <c r="D1198" s="1">
        <v>48</v>
      </c>
      <c r="E1198" s="1" t="s">
        <v>0</v>
      </c>
      <c r="F1198" s="1" t="s">
        <v>4</v>
      </c>
      <c r="G1198" s="1" t="s">
        <v>6</v>
      </c>
      <c r="H1198" s="1">
        <v>12.19</v>
      </c>
      <c r="I1198" s="1">
        <v>0</v>
      </c>
      <c r="J1198" s="13">
        <v>21678</v>
      </c>
    </row>
    <row r="1199" spans="3:10" x14ac:dyDescent="0.25">
      <c r="C1199" s="3">
        <v>1194</v>
      </c>
      <c r="D1199" s="1">
        <v>31</v>
      </c>
      <c r="E1199" s="1" t="s">
        <v>0</v>
      </c>
      <c r="F1199" s="1" t="s">
        <v>4</v>
      </c>
      <c r="G1199" s="1" t="s">
        <v>6</v>
      </c>
      <c r="H1199" s="1">
        <v>7.25</v>
      </c>
      <c r="I1199" s="1">
        <v>0</v>
      </c>
      <c r="J1199" s="13">
        <v>10335</v>
      </c>
    </row>
    <row r="1200" spans="3:10" x14ac:dyDescent="0.25">
      <c r="C1200" s="3">
        <v>1195</v>
      </c>
      <c r="D1200" s="1">
        <v>19</v>
      </c>
      <c r="E1200" s="1" t="s">
        <v>0</v>
      </c>
      <c r="F1200" s="1" t="s">
        <v>4</v>
      </c>
      <c r="G1200" s="1" t="s">
        <v>6</v>
      </c>
      <c r="H1200" s="1">
        <v>9.31</v>
      </c>
      <c r="I1200" s="1">
        <v>3</v>
      </c>
      <c r="J1200" s="13">
        <v>47097</v>
      </c>
    </row>
    <row r="1201" spans="3:10" x14ac:dyDescent="0.25">
      <c r="C1201" s="3">
        <v>1196</v>
      </c>
      <c r="D1201" s="1">
        <v>19</v>
      </c>
      <c r="E1201" s="1" t="s">
        <v>0</v>
      </c>
      <c r="F1201" s="1" t="s">
        <v>1</v>
      </c>
      <c r="G1201" s="1" t="s">
        <v>6</v>
      </c>
      <c r="H1201" s="1">
        <v>10.01</v>
      </c>
      <c r="I1201" s="1">
        <v>0</v>
      </c>
      <c r="J1201" s="13">
        <v>83269</v>
      </c>
    </row>
    <row r="1202" spans="3:10" x14ac:dyDescent="0.25">
      <c r="C1202" s="3">
        <v>1197</v>
      </c>
      <c r="D1202" s="1">
        <v>41</v>
      </c>
      <c r="E1202" s="1" t="s">
        <v>3</v>
      </c>
      <c r="F1202" s="1" t="s">
        <v>4</v>
      </c>
      <c r="G1202" s="1" t="s">
        <v>5</v>
      </c>
      <c r="H1202" s="1">
        <v>11.18</v>
      </c>
      <c r="I1202" s="1">
        <v>0</v>
      </c>
      <c r="J1202" s="13">
        <v>14250</v>
      </c>
    </row>
    <row r="1203" spans="3:10" x14ac:dyDescent="0.25">
      <c r="C1203" s="3">
        <v>1198</v>
      </c>
      <c r="D1203" s="1">
        <v>40</v>
      </c>
      <c r="E1203" s="1" t="s">
        <v>3</v>
      </c>
      <c r="F1203" s="1" t="s">
        <v>4</v>
      </c>
      <c r="G1203" s="1" t="s">
        <v>6</v>
      </c>
      <c r="H1203" s="1">
        <v>9.7799999999999994</v>
      </c>
      <c r="I1203" s="1">
        <v>1</v>
      </c>
      <c r="J1203" s="13">
        <v>15984</v>
      </c>
    </row>
    <row r="1204" spans="3:10" x14ac:dyDescent="0.25">
      <c r="C1204" s="3">
        <v>1199</v>
      </c>
      <c r="D1204" s="1">
        <v>31</v>
      </c>
      <c r="E1204" s="1" t="s">
        <v>0</v>
      </c>
      <c r="F1204" s="1" t="s">
        <v>4</v>
      </c>
      <c r="G1204" s="1" t="s">
        <v>2</v>
      </c>
      <c r="H1204" s="1">
        <v>8.6</v>
      </c>
      <c r="I1204" s="1">
        <v>2</v>
      </c>
      <c r="J1204" s="13">
        <v>12337</v>
      </c>
    </row>
    <row r="1205" spans="3:10" x14ac:dyDescent="0.25">
      <c r="C1205" s="3">
        <v>1200</v>
      </c>
      <c r="D1205" s="1">
        <v>37</v>
      </c>
      <c r="E1205" s="1" t="s">
        <v>3</v>
      </c>
      <c r="F1205" s="1" t="s">
        <v>4</v>
      </c>
      <c r="G1205" s="1" t="s">
        <v>6</v>
      </c>
      <c r="H1205" s="1">
        <v>8.11</v>
      </c>
      <c r="I1205" s="1">
        <v>2</v>
      </c>
      <c r="J1205" s="13">
        <v>15497</v>
      </c>
    </row>
    <row r="1206" spans="3:10" x14ac:dyDescent="0.25">
      <c r="C1206" s="3">
        <v>1201</v>
      </c>
      <c r="D1206" s="1">
        <v>46</v>
      </c>
      <c r="E1206" s="1" t="s">
        <v>3</v>
      </c>
      <c r="F1206" s="1" t="s">
        <v>4</v>
      </c>
      <c r="G1206" s="1" t="s">
        <v>6</v>
      </c>
      <c r="H1206" s="1">
        <v>13.46</v>
      </c>
      <c r="I1206" s="1">
        <v>2</v>
      </c>
      <c r="J1206" s="13">
        <v>21833</v>
      </c>
    </row>
    <row r="1207" spans="3:10" x14ac:dyDescent="0.25">
      <c r="C1207" s="3">
        <v>1202</v>
      </c>
      <c r="D1207" s="1">
        <v>22</v>
      </c>
      <c r="E1207" s="1" t="s">
        <v>3</v>
      </c>
      <c r="F1207" s="1" t="s">
        <v>4</v>
      </c>
      <c r="G1207" s="1" t="s">
        <v>6</v>
      </c>
      <c r="H1207" s="1">
        <v>10.7</v>
      </c>
      <c r="I1207" s="1">
        <v>0</v>
      </c>
      <c r="J1207" s="13">
        <v>5138</v>
      </c>
    </row>
    <row r="1208" spans="3:10" x14ac:dyDescent="0.25">
      <c r="C1208" s="3">
        <v>1203</v>
      </c>
      <c r="D1208" s="1">
        <v>51</v>
      </c>
      <c r="E1208" s="1" t="s">
        <v>3</v>
      </c>
      <c r="F1208" s="1" t="s">
        <v>4</v>
      </c>
      <c r="G1208" s="1" t="s">
        <v>7</v>
      </c>
      <c r="H1208" s="1">
        <v>10.77</v>
      </c>
      <c r="I1208" s="1">
        <v>1</v>
      </c>
      <c r="J1208" s="13">
        <v>24910</v>
      </c>
    </row>
    <row r="1209" spans="3:10" x14ac:dyDescent="0.25">
      <c r="C1209" s="3">
        <v>1204</v>
      </c>
      <c r="D1209" s="1">
        <v>18</v>
      </c>
      <c r="E1209" s="1" t="s">
        <v>0</v>
      </c>
      <c r="F1209" s="1" t="s">
        <v>1</v>
      </c>
      <c r="G1209" s="1" t="s">
        <v>5</v>
      </c>
      <c r="H1209" s="1">
        <v>9.09</v>
      </c>
      <c r="I1209" s="1">
        <v>3</v>
      </c>
      <c r="J1209" s="13">
        <v>45559</v>
      </c>
    </row>
    <row r="1210" spans="3:10" x14ac:dyDescent="0.25">
      <c r="C1210" s="3">
        <v>1205</v>
      </c>
      <c r="D1210" s="1">
        <v>35</v>
      </c>
      <c r="E1210" s="1" t="s">
        <v>3</v>
      </c>
      <c r="F1210" s="1" t="s">
        <v>4</v>
      </c>
      <c r="G1210" s="1" t="s">
        <v>6</v>
      </c>
      <c r="H1210" s="1">
        <v>5.95</v>
      </c>
      <c r="I1210" s="1">
        <v>1</v>
      </c>
      <c r="J1210" s="13">
        <v>12791</v>
      </c>
    </row>
    <row r="1211" spans="3:10" x14ac:dyDescent="0.25">
      <c r="C1211" s="3">
        <v>1206</v>
      </c>
      <c r="D1211" s="1">
        <v>59</v>
      </c>
      <c r="E1211" s="1" t="s">
        <v>0</v>
      </c>
      <c r="F1211" s="1" t="s">
        <v>4</v>
      </c>
      <c r="G1211" s="1" t="s">
        <v>2</v>
      </c>
      <c r="H1211" s="1">
        <v>11.6</v>
      </c>
      <c r="I1211" s="1">
        <v>2</v>
      </c>
      <c r="J1211" s="13">
        <v>92277</v>
      </c>
    </row>
    <row r="1212" spans="3:10" x14ac:dyDescent="0.25">
      <c r="C1212" s="3">
        <v>1207</v>
      </c>
      <c r="D1212" s="1">
        <v>36</v>
      </c>
      <c r="E1212" s="1" t="s">
        <v>3</v>
      </c>
      <c r="F1212" s="1" t="s">
        <v>1</v>
      </c>
      <c r="G1212" s="1" t="s">
        <v>2</v>
      </c>
      <c r="H1212" s="1">
        <v>11.13</v>
      </c>
      <c r="I1212" s="1">
        <v>2</v>
      </c>
      <c r="J1212" s="13">
        <v>96039</v>
      </c>
    </row>
    <row r="1213" spans="3:10" x14ac:dyDescent="0.25">
      <c r="C1213" s="3">
        <v>1208</v>
      </c>
      <c r="D1213" s="1">
        <v>37</v>
      </c>
      <c r="E1213" s="1" t="s">
        <v>0</v>
      </c>
      <c r="F1213" s="1" t="s">
        <v>1</v>
      </c>
      <c r="G1213" s="1" t="s">
        <v>7</v>
      </c>
      <c r="H1213" s="1">
        <v>8.52</v>
      </c>
      <c r="I1213" s="1">
        <v>1</v>
      </c>
      <c r="J1213" s="13">
        <v>50742</v>
      </c>
    </row>
    <row r="1214" spans="3:10" x14ac:dyDescent="0.25">
      <c r="C1214" s="3">
        <v>1209</v>
      </c>
      <c r="D1214" s="1">
        <v>59</v>
      </c>
      <c r="E1214" s="1" t="s">
        <v>3</v>
      </c>
      <c r="F1214" s="1" t="s">
        <v>4</v>
      </c>
      <c r="G1214" s="1" t="s">
        <v>2</v>
      </c>
      <c r="H1214" s="1">
        <v>12.37</v>
      </c>
      <c r="I1214" s="1">
        <v>1</v>
      </c>
      <c r="J1214" s="13">
        <v>30868</v>
      </c>
    </row>
    <row r="1215" spans="3:10" x14ac:dyDescent="0.25">
      <c r="C1215" s="3">
        <v>1210</v>
      </c>
      <c r="D1215" s="1">
        <v>36</v>
      </c>
      <c r="E1215" s="1" t="s">
        <v>3</v>
      </c>
      <c r="F1215" s="1" t="s">
        <v>4</v>
      </c>
      <c r="G1215" s="1" t="s">
        <v>6</v>
      </c>
      <c r="H1215" s="1">
        <v>10.29</v>
      </c>
      <c r="I1215" s="1">
        <v>1</v>
      </c>
      <c r="J1215" s="13">
        <v>13433</v>
      </c>
    </row>
    <row r="1216" spans="3:10" x14ac:dyDescent="0.25">
      <c r="C1216" s="3">
        <v>1211</v>
      </c>
      <c r="D1216" s="1">
        <v>39</v>
      </c>
      <c r="E1216" s="1" t="s">
        <v>3</v>
      </c>
      <c r="F1216" s="1" t="s">
        <v>4</v>
      </c>
      <c r="G1216" s="1" t="s">
        <v>5</v>
      </c>
      <c r="H1216" s="1">
        <v>11.37</v>
      </c>
      <c r="I1216" s="1">
        <v>2</v>
      </c>
      <c r="J1216" s="13">
        <v>58908</v>
      </c>
    </row>
    <row r="1217" spans="3:10" x14ac:dyDescent="0.25">
      <c r="C1217" s="3">
        <v>1212</v>
      </c>
      <c r="D1217" s="1">
        <v>18</v>
      </c>
      <c r="E1217" s="1" t="s">
        <v>3</v>
      </c>
      <c r="F1217" s="1" t="s">
        <v>4</v>
      </c>
      <c r="G1217" s="1" t="s">
        <v>7</v>
      </c>
      <c r="H1217" s="1">
        <v>7.16</v>
      </c>
      <c r="I1217" s="1">
        <v>0</v>
      </c>
      <c r="J1217" s="13">
        <v>4256</v>
      </c>
    </row>
    <row r="1218" spans="3:10" x14ac:dyDescent="0.25">
      <c r="C1218" s="3">
        <v>1213</v>
      </c>
      <c r="D1218" s="1">
        <v>52</v>
      </c>
      <c r="E1218" s="1" t="s">
        <v>0</v>
      </c>
      <c r="F1218" s="1" t="s">
        <v>4</v>
      </c>
      <c r="G1218" s="1" t="s">
        <v>2</v>
      </c>
      <c r="H1218" s="1">
        <v>11.1</v>
      </c>
      <c r="I1218" s="1">
        <v>2</v>
      </c>
      <c r="J1218" s="13">
        <v>27017</v>
      </c>
    </row>
    <row r="1219" spans="3:10" x14ac:dyDescent="0.25">
      <c r="C1219" s="3">
        <v>1214</v>
      </c>
      <c r="D1219" s="1">
        <v>27</v>
      </c>
      <c r="E1219" s="1" t="s">
        <v>0</v>
      </c>
      <c r="F1219" s="1" t="s">
        <v>4</v>
      </c>
      <c r="G1219" s="1" t="s">
        <v>6</v>
      </c>
      <c r="H1219" s="1">
        <v>10.42</v>
      </c>
      <c r="I1219" s="1">
        <v>1</v>
      </c>
      <c r="J1219" s="13">
        <v>9890</v>
      </c>
    </row>
    <row r="1220" spans="3:10" x14ac:dyDescent="0.25">
      <c r="C1220" s="3">
        <v>1215</v>
      </c>
      <c r="D1220" s="1">
        <v>18</v>
      </c>
      <c r="E1220" s="1" t="s">
        <v>3</v>
      </c>
      <c r="F1220" s="1" t="s">
        <v>4</v>
      </c>
      <c r="G1220" s="1" t="s">
        <v>7</v>
      </c>
      <c r="H1220" s="1">
        <v>13.05</v>
      </c>
      <c r="I1220" s="1">
        <v>0</v>
      </c>
      <c r="J1220" s="13">
        <v>32225</v>
      </c>
    </row>
    <row r="1221" spans="3:10" x14ac:dyDescent="0.25">
      <c r="C1221" s="3">
        <v>1216</v>
      </c>
      <c r="D1221" s="1">
        <v>40</v>
      </c>
      <c r="E1221" s="1" t="s">
        <v>3</v>
      </c>
      <c r="F1221" s="1" t="s">
        <v>4</v>
      </c>
      <c r="G1221" s="1" t="s">
        <v>5</v>
      </c>
      <c r="H1221" s="1">
        <v>8.36</v>
      </c>
      <c r="I1221" s="1">
        <v>0</v>
      </c>
      <c r="J1221" s="13">
        <v>13539</v>
      </c>
    </row>
    <row r="1222" spans="3:10" x14ac:dyDescent="0.25">
      <c r="C1222" s="3">
        <v>1217</v>
      </c>
      <c r="D1222" s="1">
        <v>29</v>
      </c>
      <c r="E1222" s="1" t="s">
        <v>3</v>
      </c>
      <c r="F1222" s="1" t="s">
        <v>4</v>
      </c>
      <c r="G1222" s="1" t="s">
        <v>5</v>
      </c>
      <c r="H1222" s="1">
        <v>12.43</v>
      </c>
      <c r="I1222" s="1">
        <v>2</v>
      </c>
      <c r="J1222" s="13">
        <v>10145</v>
      </c>
    </row>
    <row r="1223" spans="3:10" x14ac:dyDescent="0.25">
      <c r="C1223" s="3">
        <v>1218</v>
      </c>
      <c r="D1223" s="1">
        <v>46</v>
      </c>
      <c r="E1223" s="1" t="s">
        <v>0</v>
      </c>
      <c r="F1223" s="1" t="s">
        <v>1</v>
      </c>
      <c r="G1223" s="1" t="s">
        <v>2</v>
      </c>
      <c r="H1223" s="1">
        <v>11.53</v>
      </c>
      <c r="I1223" s="1">
        <v>1</v>
      </c>
      <c r="J1223" s="13">
        <v>104154</v>
      </c>
    </row>
    <row r="1224" spans="3:10" x14ac:dyDescent="0.25">
      <c r="C1224" s="3">
        <v>1219</v>
      </c>
      <c r="D1224" s="1">
        <v>38</v>
      </c>
      <c r="E1224" s="1" t="s">
        <v>0</v>
      </c>
      <c r="F1224" s="1" t="s">
        <v>4</v>
      </c>
      <c r="G1224" s="1" t="s">
        <v>6</v>
      </c>
      <c r="H1224" s="1">
        <v>10.07</v>
      </c>
      <c r="I1224" s="1">
        <v>3</v>
      </c>
      <c r="J1224" s="13">
        <v>18843</v>
      </c>
    </row>
    <row r="1225" spans="3:10" x14ac:dyDescent="0.25">
      <c r="C1225" s="3">
        <v>1220</v>
      </c>
      <c r="D1225" s="1">
        <v>30</v>
      </c>
      <c r="E1225" s="1" t="s">
        <v>0</v>
      </c>
      <c r="F1225" s="1" t="s">
        <v>4</v>
      </c>
      <c r="G1225" s="1" t="s">
        <v>7</v>
      </c>
      <c r="H1225" s="1">
        <v>7.32</v>
      </c>
      <c r="I1225" s="1">
        <v>1</v>
      </c>
      <c r="J1225" s="13">
        <v>11796</v>
      </c>
    </row>
    <row r="1226" spans="3:10" x14ac:dyDescent="0.25">
      <c r="C1226" s="3">
        <v>1221</v>
      </c>
      <c r="D1226" s="1">
        <v>40</v>
      </c>
      <c r="E1226" s="1" t="s">
        <v>3</v>
      </c>
      <c r="F1226" s="1" t="s">
        <v>4</v>
      </c>
      <c r="G1226" s="1" t="s">
        <v>5</v>
      </c>
      <c r="H1226" s="1">
        <v>8.32</v>
      </c>
      <c r="I1226" s="1">
        <v>2</v>
      </c>
      <c r="J1226" s="13">
        <v>16484</v>
      </c>
    </row>
    <row r="1227" spans="3:10" x14ac:dyDescent="0.25">
      <c r="C1227" s="3">
        <v>1222</v>
      </c>
      <c r="D1227" s="1">
        <v>50</v>
      </c>
      <c r="E1227" s="1" t="s">
        <v>3</v>
      </c>
      <c r="F1227" s="1" t="s">
        <v>4</v>
      </c>
      <c r="G1227" s="1" t="s">
        <v>5</v>
      </c>
      <c r="H1227" s="1">
        <v>8.43</v>
      </c>
      <c r="I1227" s="1">
        <v>0</v>
      </c>
      <c r="J1227" s="13">
        <v>21107</v>
      </c>
    </row>
    <row r="1228" spans="3:10" x14ac:dyDescent="0.25">
      <c r="C1228" s="3">
        <v>1223</v>
      </c>
      <c r="D1228" s="1">
        <v>20</v>
      </c>
      <c r="E1228" s="1" t="s">
        <v>0</v>
      </c>
      <c r="F1228" s="1" t="s">
        <v>1</v>
      </c>
      <c r="G1228" s="1" t="s">
        <v>5</v>
      </c>
      <c r="H1228" s="1">
        <v>8.14</v>
      </c>
      <c r="I1228" s="1">
        <v>0</v>
      </c>
      <c r="J1228" s="13">
        <v>65314</v>
      </c>
    </row>
    <row r="1229" spans="3:10" x14ac:dyDescent="0.25">
      <c r="C1229" s="3">
        <v>1224</v>
      </c>
      <c r="D1229" s="1">
        <v>41</v>
      </c>
      <c r="E1229" s="1" t="s">
        <v>3</v>
      </c>
      <c r="F1229" s="1" t="s">
        <v>4</v>
      </c>
      <c r="G1229" s="1" t="s">
        <v>7</v>
      </c>
      <c r="H1229" s="1">
        <v>7.98</v>
      </c>
      <c r="I1229" s="1">
        <v>1</v>
      </c>
      <c r="J1229" s="13">
        <v>17146</v>
      </c>
    </row>
    <row r="1230" spans="3:10" x14ac:dyDescent="0.25">
      <c r="C1230" s="3">
        <v>1225</v>
      </c>
      <c r="D1230" s="1">
        <v>33</v>
      </c>
      <c r="E1230" s="1" t="s">
        <v>0</v>
      </c>
      <c r="F1230" s="1" t="s">
        <v>4</v>
      </c>
      <c r="G1230" s="1" t="s">
        <v>5</v>
      </c>
      <c r="H1230" s="1">
        <v>13.27</v>
      </c>
      <c r="I1230" s="1">
        <v>1</v>
      </c>
      <c r="J1230" s="13">
        <v>11989</v>
      </c>
    </row>
    <row r="1231" spans="3:10" x14ac:dyDescent="0.25">
      <c r="C1231" s="3">
        <v>1226</v>
      </c>
      <c r="D1231" s="1">
        <v>38</v>
      </c>
      <c r="E1231" s="1" t="s">
        <v>3</v>
      </c>
      <c r="F1231" s="1" t="s">
        <v>4</v>
      </c>
      <c r="G1231" s="1" t="s">
        <v>7</v>
      </c>
      <c r="H1231" s="1">
        <v>5.6</v>
      </c>
      <c r="I1231" s="1">
        <v>2</v>
      </c>
      <c r="J1231" s="13">
        <v>16601</v>
      </c>
    </row>
    <row r="1232" spans="3:10" x14ac:dyDescent="0.25">
      <c r="C1232" s="3">
        <v>1227</v>
      </c>
      <c r="D1232" s="1">
        <v>42</v>
      </c>
      <c r="E1232" s="1" t="s">
        <v>3</v>
      </c>
      <c r="F1232" s="1" t="s">
        <v>4</v>
      </c>
      <c r="G1232" s="1" t="s">
        <v>5</v>
      </c>
      <c r="H1232" s="1">
        <v>12.39</v>
      </c>
      <c r="I1232" s="1">
        <v>2</v>
      </c>
      <c r="J1232" s="13">
        <v>17905</v>
      </c>
    </row>
    <row r="1233" spans="3:10" x14ac:dyDescent="0.25">
      <c r="C1233" s="3">
        <v>1228</v>
      </c>
      <c r="D1233" s="1">
        <v>56</v>
      </c>
      <c r="E1233" s="1" t="s">
        <v>3</v>
      </c>
      <c r="F1233" s="1" t="s">
        <v>4</v>
      </c>
      <c r="G1233" s="1" t="s">
        <v>5</v>
      </c>
      <c r="H1233" s="1">
        <v>11.48</v>
      </c>
      <c r="I1233" s="1">
        <v>0</v>
      </c>
      <c r="J1233" s="13">
        <v>26486</v>
      </c>
    </row>
    <row r="1234" spans="3:10" x14ac:dyDescent="0.25">
      <c r="C1234" s="3">
        <v>1229</v>
      </c>
      <c r="D1234" s="1">
        <v>58</v>
      </c>
      <c r="E1234" s="1" t="s">
        <v>3</v>
      </c>
      <c r="F1234" s="1" t="s">
        <v>4</v>
      </c>
      <c r="G1234" s="1" t="s">
        <v>7</v>
      </c>
      <c r="H1234" s="1">
        <v>10.1</v>
      </c>
      <c r="I1234" s="1">
        <v>0</v>
      </c>
      <c r="J1234" s="13">
        <v>29846</v>
      </c>
    </row>
    <row r="1235" spans="3:10" x14ac:dyDescent="0.25">
      <c r="C1235" s="3">
        <v>1230</v>
      </c>
      <c r="D1235" s="1">
        <v>52</v>
      </c>
      <c r="E1235" s="1" t="s">
        <v>3</v>
      </c>
      <c r="F1235" s="1" t="s">
        <v>1</v>
      </c>
      <c r="G1235" s="1" t="s">
        <v>6</v>
      </c>
      <c r="H1235" s="1">
        <v>11.5</v>
      </c>
      <c r="I1235" s="1">
        <v>3</v>
      </c>
      <c r="J1235" s="13">
        <v>150053</v>
      </c>
    </row>
    <row r="1236" spans="3:10" x14ac:dyDescent="0.25">
      <c r="C1236" s="3">
        <v>1231</v>
      </c>
      <c r="D1236" s="1">
        <v>20</v>
      </c>
      <c r="E1236" s="1" t="s">
        <v>0</v>
      </c>
      <c r="F1236" s="1" t="s">
        <v>1</v>
      </c>
      <c r="G1236" s="1" t="s">
        <v>2</v>
      </c>
      <c r="H1236" s="1">
        <v>7.27</v>
      </c>
      <c r="I1236" s="1">
        <v>0</v>
      </c>
      <c r="J1236" s="13">
        <v>50418</v>
      </c>
    </row>
    <row r="1237" spans="3:10" x14ac:dyDescent="0.25">
      <c r="C1237" s="3">
        <v>1232</v>
      </c>
      <c r="D1237" s="1">
        <v>54</v>
      </c>
      <c r="E1237" s="1" t="s">
        <v>0</v>
      </c>
      <c r="F1237" s="1" t="s">
        <v>4</v>
      </c>
      <c r="G1237" s="1" t="s">
        <v>6</v>
      </c>
      <c r="H1237" s="1">
        <v>8.1999999999999993</v>
      </c>
      <c r="I1237" s="1">
        <v>3</v>
      </c>
      <c r="J1237" s="13">
        <v>31199</v>
      </c>
    </row>
    <row r="1238" spans="3:10" x14ac:dyDescent="0.25">
      <c r="C1238" s="3">
        <v>1233</v>
      </c>
      <c r="D1238" s="1">
        <v>58</v>
      </c>
      <c r="E1238" s="1" t="s">
        <v>3</v>
      </c>
      <c r="F1238" s="1" t="s">
        <v>4</v>
      </c>
      <c r="G1238" s="1" t="s">
        <v>2</v>
      </c>
      <c r="H1238" s="1">
        <v>7.77</v>
      </c>
      <c r="I1238" s="1">
        <v>0</v>
      </c>
      <c r="J1238" s="13">
        <v>28364</v>
      </c>
    </row>
    <row r="1239" spans="3:10" x14ac:dyDescent="0.25">
      <c r="C1239" s="3">
        <v>1234</v>
      </c>
      <c r="D1239" s="1">
        <v>45</v>
      </c>
      <c r="E1239" s="1" t="s">
        <v>0</v>
      </c>
      <c r="F1239" s="1" t="s">
        <v>4</v>
      </c>
      <c r="G1239" s="1" t="s">
        <v>5</v>
      </c>
      <c r="H1239" s="1">
        <v>9.2799999999999994</v>
      </c>
      <c r="I1239" s="1">
        <v>2</v>
      </c>
      <c r="J1239" s="13">
        <v>21289</v>
      </c>
    </row>
    <row r="1240" spans="3:10" x14ac:dyDescent="0.25">
      <c r="C1240" s="3">
        <v>1235</v>
      </c>
      <c r="D1240" s="1">
        <v>26</v>
      </c>
      <c r="E1240" s="1" t="s">
        <v>3</v>
      </c>
      <c r="F1240" s="1" t="s">
        <v>4</v>
      </c>
      <c r="G1240" s="1" t="s">
        <v>6</v>
      </c>
      <c r="H1240" s="1">
        <v>10.36</v>
      </c>
      <c r="I1240" s="1">
        <v>0</v>
      </c>
      <c r="J1240" s="13">
        <v>6749</v>
      </c>
    </row>
    <row r="1241" spans="3:10" x14ac:dyDescent="0.25">
      <c r="C1241" s="3">
        <v>1236</v>
      </c>
      <c r="D1241" s="1">
        <v>63</v>
      </c>
      <c r="E1241" s="1" t="s">
        <v>0</v>
      </c>
      <c r="F1241" s="1" t="s">
        <v>4</v>
      </c>
      <c r="G1241" s="1" t="s">
        <v>7</v>
      </c>
      <c r="H1241" s="1">
        <v>7.22</v>
      </c>
      <c r="I1241" s="1">
        <v>0</v>
      </c>
      <c r="J1241" s="13">
        <v>36125</v>
      </c>
    </row>
    <row r="1242" spans="3:10" x14ac:dyDescent="0.25">
      <c r="C1242" s="3">
        <v>1237</v>
      </c>
      <c r="D1242" s="1">
        <v>58</v>
      </c>
      <c r="E1242" s="1" t="s">
        <v>0</v>
      </c>
      <c r="F1242" s="1" t="s">
        <v>4</v>
      </c>
      <c r="G1242" s="1" t="s">
        <v>6</v>
      </c>
      <c r="H1242" s="1">
        <v>9.4</v>
      </c>
      <c r="I1242" s="1">
        <v>0</v>
      </c>
      <c r="J1242" s="13">
        <v>30561</v>
      </c>
    </row>
    <row r="1243" spans="3:10" x14ac:dyDescent="0.25">
      <c r="C1243" s="3">
        <v>1238</v>
      </c>
      <c r="D1243" s="1">
        <v>37</v>
      </c>
      <c r="E1243" s="1" t="s">
        <v>3</v>
      </c>
      <c r="F1243" s="1" t="s">
        <v>4</v>
      </c>
      <c r="G1243" s="1" t="s">
        <v>7</v>
      </c>
      <c r="H1243" s="1">
        <v>7.57</v>
      </c>
      <c r="I1243" s="1">
        <v>3</v>
      </c>
      <c r="J1243" s="13">
        <v>17464</v>
      </c>
    </row>
    <row r="1244" spans="3:10" x14ac:dyDescent="0.25">
      <c r="C1244" s="3">
        <v>1239</v>
      </c>
      <c r="D1244" s="1">
        <v>25</v>
      </c>
      <c r="E1244" s="1" t="s">
        <v>0</v>
      </c>
      <c r="F1244" s="1" t="s">
        <v>4</v>
      </c>
      <c r="G1244" s="1" t="s">
        <v>5</v>
      </c>
      <c r="H1244" s="1">
        <v>14.04</v>
      </c>
      <c r="I1244" s="1">
        <v>1</v>
      </c>
      <c r="J1244" s="13">
        <v>8096</v>
      </c>
    </row>
    <row r="1245" spans="3:10" x14ac:dyDescent="0.25">
      <c r="C1245" s="3">
        <v>1240</v>
      </c>
      <c r="D1245" s="1">
        <v>52</v>
      </c>
      <c r="E1245" s="1" t="s">
        <v>3</v>
      </c>
      <c r="F1245" s="1" t="s">
        <v>1</v>
      </c>
      <c r="G1245" s="1" t="s">
        <v>5</v>
      </c>
      <c r="H1245" s="1">
        <v>13.93</v>
      </c>
      <c r="I1245" s="1">
        <v>2</v>
      </c>
      <c r="J1245" s="13">
        <v>118175</v>
      </c>
    </row>
    <row r="1246" spans="3:10" x14ac:dyDescent="0.25">
      <c r="C1246" s="3">
        <v>1241</v>
      </c>
      <c r="D1246" s="1">
        <v>64</v>
      </c>
      <c r="E1246" s="1" t="s">
        <v>3</v>
      </c>
      <c r="F1246" s="1" t="s">
        <v>1</v>
      </c>
      <c r="G1246" s="1" t="s">
        <v>5</v>
      </c>
      <c r="H1246" s="1">
        <v>12.32</v>
      </c>
      <c r="I1246" s="1">
        <v>2</v>
      </c>
      <c r="J1246" s="13">
        <v>123944</v>
      </c>
    </row>
    <row r="1247" spans="3:10" x14ac:dyDescent="0.25">
      <c r="C1247" s="3">
        <v>1242</v>
      </c>
      <c r="D1247" s="1">
        <v>22</v>
      </c>
      <c r="E1247" s="1" t="s">
        <v>0</v>
      </c>
      <c r="F1247" s="1" t="s">
        <v>4</v>
      </c>
      <c r="G1247" s="1" t="s">
        <v>6</v>
      </c>
      <c r="H1247" s="1">
        <v>7.09</v>
      </c>
      <c r="I1247" s="1">
        <v>3</v>
      </c>
      <c r="J1247" s="13">
        <v>10741</v>
      </c>
    </row>
    <row r="1248" spans="3:10" x14ac:dyDescent="0.25">
      <c r="C1248" s="3">
        <v>1243</v>
      </c>
      <c r="D1248" s="1">
        <v>28</v>
      </c>
      <c r="E1248" s="1" t="s">
        <v>0</v>
      </c>
      <c r="F1248" s="1" t="s">
        <v>4</v>
      </c>
      <c r="G1248" s="1" t="s">
        <v>5</v>
      </c>
      <c r="H1248" s="1">
        <v>11.04</v>
      </c>
      <c r="I1248" s="1">
        <v>0</v>
      </c>
      <c r="J1248" s="13">
        <v>7929</v>
      </c>
    </row>
    <row r="1249" spans="3:10" x14ac:dyDescent="0.25">
      <c r="C1249" s="3">
        <v>1244</v>
      </c>
      <c r="D1249" s="1">
        <v>18</v>
      </c>
      <c r="E1249" s="1" t="s">
        <v>3</v>
      </c>
      <c r="F1249" s="1" t="s">
        <v>4</v>
      </c>
      <c r="G1249" s="1" t="s">
        <v>5</v>
      </c>
      <c r="H1249" s="1">
        <v>11.11</v>
      </c>
      <c r="I1249" s="1">
        <v>0</v>
      </c>
      <c r="J1249" s="13">
        <v>2840</v>
      </c>
    </row>
    <row r="1250" spans="3:10" x14ac:dyDescent="0.25">
      <c r="C1250" s="3">
        <v>1245</v>
      </c>
      <c r="D1250" s="1">
        <v>28</v>
      </c>
      <c r="E1250" s="1" t="s">
        <v>3</v>
      </c>
      <c r="F1250" s="1" t="s">
        <v>4</v>
      </c>
      <c r="G1250" s="1" t="s">
        <v>2</v>
      </c>
      <c r="H1250" s="1">
        <v>8.1</v>
      </c>
      <c r="I1250" s="1">
        <v>5</v>
      </c>
      <c r="J1250" s="13">
        <v>14038</v>
      </c>
    </row>
    <row r="1251" spans="3:10" x14ac:dyDescent="0.25">
      <c r="C1251" s="3">
        <v>1246</v>
      </c>
      <c r="D1251" s="1">
        <v>45</v>
      </c>
      <c r="E1251" s="1" t="s">
        <v>0</v>
      </c>
      <c r="F1251" s="1" t="s">
        <v>4</v>
      </c>
      <c r="G1251" s="1" t="s">
        <v>2</v>
      </c>
      <c r="H1251" s="1">
        <v>8.57</v>
      </c>
      <c r="I1251" s="1">
        <v>3</v>
      </c>
      <c r="J1251" s="13">
        <v>22754</v>
      </c>
    </row>
    <row r="1252" spans="3:10" x14ac:dyDescent="0.25">
      <c r="C1252" s="3">
        <v>1247</v>
      </c>
      <c r="D1252" s="1">
        <v>33</v>
      </c>
      <c r="E1252" s="1" t="s">
        <v>3</v>
      </c>
      <c r="F1252" s="1" t="s">
        <v>4</v>
      </c>
      <c r="G1252" s="1" t="s">
        <v>2</v>
      </c>
      <c r="H1252" s="1">
        <v>9.8000000000000007</v>
      </c>
      <c r="I1252" s="1">
        <v>4</v>
      </c>
      <c r="J1252" s="13">
        <v>15148</v>
      </c>
    </row>
    <row r="1253" spans="3:10" x14ac:dyDescent="0.25">
      <c r="C1253" s="3">
        <v>1248</v>
      </c>
      <c r="D1253" s="1">
        <v>18</v>
      </c>
      <c r="E1253" s="1" t="s">
        <v>0</v>
      </c>
      <c r="F1253" s="1" t="s">
        <v>4</v>
      </c>
      <c r="G1253" s="1" t="s">
        <v>5</v>
      </c>
      <c r="H1253" s="1">
        <v>13.27</v>
      </c>
      <c r="I1253" s="1">
        <v>0</v>
      </c>
      <c r="J1253" s="13">
        <v>4085</v>
      </c>
    </row>
    <row r="1254" spans="3:10" x14ac:dyDescent="0.25">
      <c r="C1254" s="3">
        <v>1249</v>
      </c>
      <c r="D1254" s="1">
        <v>32</v>
      </c>
      <c r="E1254" s="1" t="s">
        <v>3</v>
      </c>
      <c r="F1254" s="1" t="s">
        <v>1</v>
      </c>
      <c r="G1254" s="1" t="s">
        <v>7</v>
      </c>
      <c r="H1254" s="1">
        <v>11.21</v>
      </c>
      <c r="I1254" s="1">
        <v>1</v>
      </c>
      <c r="J1254" s="13">
        <v>94019</v>
      </c>
    </row>
    <row r="1255" spans="3:10" x14ac:dyDescent="0.25">
      <c r="C1255" s="3">
        <v>1250</v>
      </c>
      <c r="D1255" s="1">
        <v>24</v>
      </c>
      <c r="E1255" s="1" t="s">
        <v>3</v>
      </c>
      <c r="F1255" s="1" t="s">
        <v>1</v>
      </c>
      <c r="G1255" s="1" t="s">
        <v>7</v>
      </c>
      <c r="H1255" s="1">
        <v>9.94</v>
      </c>
      <c r="I1255" s="1">
        <v>0</v>
      </c>
      <c r="J1255" s="13">
        <v>46621</v>
      </c>
    </row>
    <row r="1256" spans="3:10" x14ac:dyDescent="0.25">
      <c r="C1256" s="3">
        <v>1251</v>
      </c>
      <c r="D1256" s="1">
        <v>19</v>
      </c>
      <c r="E1256" s="1" t="s">
        <v>3</v>
      </c>
      <c r="F1256" s="1" t="s">
        <v>4</v>
      </c>
      <c r="G1256" s="1" t="s">
        <v>2</v>
      </c>
      <c r="H1256" s="1">
        <v>6.6</v>
      </c>
      <c r="I1256" s="1">
        <v>0</v>
      </c>
      <c r="J1256" s="13">
        <v>3104</v>
      </c>
    </row>
    <row r="1257" spans="3:10" x14ac:dyDescent="0.25">
      <c r="C1257" s="3">
        <v>1252</v>
      </c>
      <c r="D1257" s="1">
        <v>20</v>
      </c>
      <c r="E1257" s="1" t="s">
        <v>3</v>
      </c>
      <c r="F1257" s="1" t="s">
        <v>1</v>
      </c>
      <c r="G1257" s="1" t="s">
        <v>2</v>
      </c>
      <c r="H1257" s="1">
        <v>9.1</v>
      </c>
      <c r="I1257" s="1">
        <v>0</v>
      </c>
      <c r="J1257" s="13">
        <v>40582</v>
      </c>
    </row>
    <row r="1258" spans="3:10" x14ac:dyDescent="0.25">
      <c r="C1258" s="3">
        <v>1253</v>
      </c>
      <c r="D1258" s="1">
        <v>40</v>
      </c>
      <c r="E1258" s="1" t="s">
        <v>0</v>
      </c>
      <c r="F1258" s="1" t="s">
        <v>4</v>
      </c>
      <c r="G1258" s="1" t="s">
        <v>2</v>
      </c>
      <c r="H1258" s="1">
        <v>9.77</v>
      </c>
      <c r="I1258" s="1">
        <v>4</v>
      </c>
      <c r="J1258" s="13">
        <v>39572</v>
      </c>
    </row>
    <row r="1259" spans="3:10" x14ac:dyDescent="0.25">
      <c r="C1259" s="3">
        <v>1254</v>
      </c>
      <c r="D1259" s="1">
        <v>34</v>
      </c>
      <c r="E1259" s="1" t="s">
        <v>0</v>
      </c>
      <c r="F1259" s="1" t="s">
        <v>4</v>
      </c>
      <c r="G1259" s="1" t="s">
        <v>5</v>
      </c>
      <c r="H1259" s="1">
        <v>9.24</v>
      </c>
      <c r="I1259" s="1">
        <v>0</v>
      </c>
      <c r="J1259" s="13">
        <v>11038</v>
      </c>
    </row>
    <row r="1260" spans="3:10" x14ac:dyDescent="0.25">
      <c r="C1260" s="3">
        <v>1255</v>
      </c>
      <c r="D1260" s="1">
        <v>42</v>
      </c>
      <c r="E1260" s="1" t="s">
        <v>0</v>
      </c>
      <c r="F1260" s="1" t="s">
        <v>4</v>
      </c>
      <c r="G1260" s="1" t="s">
        <v>2</v>
      </c>
      <c r="H1260" s="1">
        <v>12.63</v>
      </c>
      <c r="I1260" s="1">
        <v>0</v>
      </c>
      <c r="J1260" s="13">
        <v>16185</v>
      </c>
    </row>
    <row r="1261" spans="3:10" x14ac:dyDescent="0.25">
      <c r="C1261" s="3">
        <v>1256</v>
      </c>
      <c r="D1261" s="1">
        <v>51</v>
      </c>
      <c r="E1261" s="1" t="s">
        <v>0</v>
      </c>
      <c r="F1261" s="1" t="s">
        <v>4</v>
      </c>
      <c r="G1261" s="1" t="s">
        <v>6</v>
      </c>
      <c r="H1261" s="1">
        <v>12.13</v>
      </c>
      <c r="I1261" s="1">
        <v>3</v>
      </c>
      <c r="J1261" s="13">
        <v>28592</v>
      </c>
    </row>
    <row r="1262" spans="3:10" x14ac:dyDescent="0.25">
      <c r="C1262" s="3">
        <v>1257</v>
      </c>
      <c r="D1262" s="1">
        <v>54</v>
      </c>
      <c r="E1262" s="1" t="s">
        <v>0</v>
      </c>
      <c r="F1262" s="1" t="s">
        <v>4</v>
      </c>
      <c r="G1262" s="1" t="s">
        <v>6</v>
      </c>
      <c r="H1262" s="1">
        <v>9.2200000000000006</v>
      </c>
      <c r="I1262" s="1">
        <v>1</v>
      </c>
      <c r="J1262" s="13">
        <v>28265</v>
      </c>
    </row>
    <row r="1263" spans="3:10" x14ac:dyDescent="0.25">
      <c r="C1263" s="3">
        <v>1258</v>
      </c>
      <c r="D1263" s="1">
        <v>55</v>
      </c>
      <c r="E1263" s="1" t="s">
        <v>3</v>
      </c>
      <c r="F1263" s="1" t="s">
        <v>4</v>
      </c>
      <c r="G1263" s="1" t="s">
        <v>6</v>
      </c>
      <c r="H1263" s="1">
        <v>12.57</v>
      </c>
      <c r="I1263" s="1">
        <v>3</v>
      </c>
      <c r="J1263" s="13">
        <v>75159</v>
      </c>
    </row>
    <row r="1264" spans="3:10" x14ac:dyDescent="0.25">
      <c r="C1264" s="3">
        <v>1259</v>
      </c>
      <c r="D1264" s="1">
        <v>52</v>
      </c>
      <c r="E1264" s="1" t="s">
        <v>0</v>
      </c>
      <c r="F1264" s="1" t="s">
        <v>4</v>
      </c>
      <c r="G1264" s="1" t="s">
        <v>7</v>
      </c>
      <c r="H1264" s="1">
        <v>7.73</v>
      </c>
      <c r="I1264" s="1">
        <v>0</v>
      </c>
      <c r="J1264" s="13">
        <v>25494</v>
      </c>
    </row>
    <row r="1265" spans="3:10" x14ac:dyDescent="0.25">
      <c r="C1265" s="3">
        <v>1260</v>
      </c>
      <c r="D1265" s="1">
        <v>32</v>
      </c>
      <c r="E1265" s="1" t="s">
        <v>0</v>
      </c>
      <c r="F1265" s="1" t="s">
        <v>4</v>
      </c>
      <c r="G1265" s="1" t="s">
        <v>7</v>
      </c>
      <c r="H1265" s="1">
        <v>6.84</v>
      </c>
      <c r="I1265" s="1">
        <v>0</v>
      </c>
      <c r="J1265" s="13">
        <v>11361</v>
      </c>
    </row>
    <row r="1266" spans="3:10" x14ac:dyDescent="0.25">
      <c r="C1266" s="3">
        <v>1261</v>
      </c>
      <c r="D1266" s="1">
        <v>28</v>
      </c>
      <c r="E1266" s="1" t="s">
        <v>3</v>
      </c>
      <c r="F1266" s="1" t="s">
        <v>4</v>
      </c>
      <c r="G1266" s="1" t="s">
        <v>2</v>
      </c>
      <c r="H1266" s="1">
        <v>12.37</v>
      </c>
      <c r="I1266" s="1">
        <v>1</v>
      </c>
      <c r="J1266" s="13">
        <v>8193</v>
      </c>
    </row>
    <row r="1267" spans="3:10" x14ac:dyDescent="0.25">
      <c r="C1267" s="3">
        <v>1262</v>
      </c>
      <c r="D1267" s="1">
        <v>41</v>
      </c>
      <c r="E1267" s="1" t="s">
        <v>0</v>
      </c>
      <c r="F1267" s="1" t="s">
        <v>4</v>
      </c>
      <c r="G1267" s="1" t="s">
        <v>5</v>
      </c>
      <c r="H1267" s="1">
        <v>9.35</v>
      </c>
      <c r="I1267" s="1">
        <v>1</v>
      </c>
      <c r="J1267" s="13">
        <v>16925</v>
      </c>
    </row>
    <row r="1268" spans="3:10" x14ac:dyDescent="0.25">
      <c r="C1268" s="3">
        <v>1263</v>
      </c>
      <c r="D1268" s="1">
        <v>43</v>
      </c>
      <c r="E1268" s="1" t="s">
        <v>0</v>
      </c>
      <c r="F1268" s="1" t="s">
        <v>4</v>
      </c>
      <c r="G1268" s="1" t="s">
        <v>2</v>
      </c>
      <c r="H1268" s="1">
        <v>9.9700000000000006</v>
      </c>
      <c r="I1268" s="1">
        <v>1</v>
      </c>
      <c r="J1268" s="13">
        <v>18344</v>
      </c>
    </row>
    <row r="1269" spans="3:10" x14ac:dyDescent="0.25">
      <c r="C1269" s="3">
        <v>1264</v>
      </c>
      <c r="D1269" s="1">
        <v>49</v>
      </c>
      <c r="E1269" s="1" t="s">
        <v>0</v>
      </c>
      <c r="F1269" s="1" t="s">
        <v>4</v>
      </c>
      <c r="G1269" s="1" t="s">
        <v>7</v>
      </c>
      <c r="H1269" s="1">
        <v>11.12</v>
      </c>
      <c r="I1269" s="1">
        <v>2</v>
      </c>
      <c r="J1269" s="13">
        <v>25927</v>
      </c>
    </row>
    <row r="1270" spans="3:10" x14ac:dyDescent="0.25">
      <c r="C1270" s="3">
        <v>1265</v>
      </c>
      <c r="D1270" s="1">
        <v>64</v>
      </c>
      <c r="E1270" s="1" t="s">
        <v>3</v>
      </c>
      <c r="F1270" s="1" t="s">
        <v>1</v>
      </c>
      <c r="G1270" s="1" t="s">
        <v>5</v>
      </c>
      <c r="H1270" s="1">
        <v>7.92</v>
      </c>
      <c r="I1270" s="1">
        <v>0</v>
      </c>
      <c r="J1270" s="13">
        <v>67316</v>
      </c>
    </row>
    <row r="1271" spans="3:10" x14ac:dyDescent="0.25">
      <c r="C1271" s="3">
        <v>1266</v>
      </c>
      <c r="D1271" s="1">
        <v>55</v>
      </c>
      <c r="E1271" s="1" t="s">
        <v>0</v>
      </c>
      <c r="F1271" s="1" t="s">
        <v>4</v>
      </c>
      <c r="G1271" s="1" t="s">
        <v>2</v>
      </c>
      <c r="H1271" s="1">
        <v>10.17</v>
      </c>
      <c r="I1271" s="1">
        <v>0</v>
      </c>
      <c r="J1271" s="13">
        <v>26761</v>
      </c>
    </row>
    <row r="1272" spans="3:10" x14ac:dyDescent="0.25">
      <c r="C1272" s="3">
        <v>1267</v>
      </c>
      <c r="D1272" s="1">
        <v>24</v>
      </c>
      <c r="E1272" s="1" t="s">
        <v>3</v>
      </c>
      <c r="F1272" s="1" t="s">
        <v>1</v>
      </c>
      <c r="G1272" s="1" t="s">
        <v>7</v>
      </c>
      <c r="H1272" s="1">
        <v>10.36</v>
      </c>
      <c r="I1272" s="1">
        <v>0</v>
      </c>
      <c r="J1272" s="13">
        <v>85635</v>
      </c>
    </row>
    <row r="1273" spans="3:10" x14ac:dyDescent="0.25">
      <c r="C1273" s="3">
        <v>1268</v>
      </c>
      <c r="D1273" s="1">
        <v>20</v>
      </c>
      <c r="E1273" s="1" t="s">
        <v>0</v>
      </c>
      <c r="F1273" s="1" t="s">
        <v>4</v>
      </c>
      <c r="G1273" s="1" t="s">
        <v>2</v>
      </c>
      <c r="H1273" s="1">
        <v>11.1</v>
      </c>
      <c r="I1273" s="1">
        <v>0</v>
      </c>
      <c r="J1273" s="13">
        <v>4701</v>
      </c>
    </row>
    <row r="1274" spans="3:10" x14ac:dyDescent="0.25">
      <c r="C1274" s="3">
        <v>1269</v>
      </c>
      <c r="D1274" s="1">
        <v>45</v>
      </c>
      <c r="E1274" s="1" t="s">
        <v>3</v>
      </c>
      <c r="F1274" s="1" t="s">
        <v>4</v>
      </c>
      <c r="G1274" s="1" t="s">
        <v>2</v>
      </c>
      <c r="H1274" s="1">
        <v>9.17</v>
      </c>
      <c r="I1274" s="1">
        <v>3</v>
      </c>
      <c r="J1274" s="13">
        <v>21538</v>
      </c>
    </row>
    <row r="1275" spans="3:10" x14ac:dyDescent="0.25">
      <c r="C1275" s="3">
        <v>1270</v>
      </c>
      <c r="D1275" s="1">
        <v>26</v>
      </c>
      <c r="E1275" s="1" t="s">
        <v>3</v>
      </c>
      <c r="F1275" s="1" t="s">
        <v>4</v>
      </c>
      <c r="G1275" s="1" t="s">
        <v>6</v>
      </c>
      <c r="H1275" s="1">
        <v>11.3</v>
      </c>
      <c r="I1275" s="1">
        <v>1</v>
      </c>
      <c r="J1275" s="13">
        <v>8231</v>
      </c>
    </row>
    <row r="1276" spans="3:10" x14ac:dyDescent="0.25">
      <c r="C1276" s="3">
        <v>1271</v>
      </c>
      <c r="D1276" s="1">
        <v>25</v>
      </c>
      <c r="E1276" s="1" t="s">
        <v>0</v>
      </c>
      <c r="F1276" s="1" t="s">
        <v>4</v>
      </c>
      <c r="G1276" s="1" t="s">
        <v>6</v>
      </c>
      <c r="H1276" s="1">
        <v>11.5</v>
      </c>
      <c r="I1276" s="1">
        <v>0</v>
      </c>
      <c r="J1276" s="13">
        <v>7555</v>
      </c>
    </row>
    <row r="1277" spans="3:10" x14ac:dyDescent="0.25">
      <c r="C1277" s="3">
        <v>1272</v>
      </c>
      <c r="D1277" s="1">
        <v>43</v>
      </c>
      <c r="E1277" s="1" t="s">
        <v>3</v>
      </c>
      <c r="F1277" s="1" t="s">
        <v>4</v>
      </c>
      <c r="G1277" s="1" t="s">
        <v>5</v>
      </c>
      <c r="H1277" s="1">
        <v>8.51</v>
      </c>
      <c r="I1277" s="1">
        <v>5</v>
      </c>
      <c r="J1277" s="13">
        <v>36196</v>
      </c>
    </row>
    <row r="1278" spans="3:10" x14ac:dyDescent="0.25">
      <c r="C1278" s="3">
        <v>1273</v>
      </c>
      <c r="D1278" s="1">
        <v>35</v>
      </c>
      <c r="E1278" s="1" t="s">
        <v>3</v>
      </c>
      <c r="F1278" s="1" t="s">
        <v>4</v>
      </c>
      <c r="G1278" s="1" t="s">
        <v>5</v>
      </c>
      <c r="H1278" s="1">
        <v>9.1999999999999993</v>
      </c>
      <c r="I1278" s="1">
        <v>1</v>
      </c>
      <c r="J1278" s="13">
        <v>11868</v>
      </c>
    </row>
    <row r="1279" spans="3:10" x14ac:dyDescent="0.25">
      <c r="C1279" s="3">
        <v>1274</v>
      </c>
      <c r="D1279" s="1">
        <v>26</v>
      </c>
      <c r="E1279" s="1" t="s">
        <v>3</v>
      </c>
      <c r="F1279" s="1" t="s">
        <v>1</v>
      </c>
      <c r="G1279" s="1" t="s">
        <v>5</v>
      </c>
      <c r="H1279" s="1">
        <v>9.02</v>
      </c>
      <c r="I1279" s="1">
        <v>0</v>
      </c>
      <c r="J1279" s="13">
        <v>42608</v>
      </c>
    </row>
    <row r="1280" spans="3:10" x14ac:dyDescent="0.25">
      <c r="C1280" s="3">
        <v>1275</v>
      </c>
      <c r="D1280" s="1">
        <v>57</v>
      </c>
      <c r="E1280" s="1" t="s">
        <v>3</v>
      </c>
      <c r="F1280" s="1" t="s">
        <v>4</v>
      </c>
      <c r="G1280" s="1" t="s">
        <v>2</v>
      </c>
      <c r="H1280" s="1">
        <v>7.9</v>
      </c>
      <c r="I1280" s="1">
        <v>0</v>
      </c>
      <c r="J1280" s="13">
        <v>27398</v>
      </c>
    </row>
    <row r="1281" spans="3:10" x14ac:dyDescent="0.25">
      <c r="C1281" s="3">
        <v>1276</v>
      </c>
      <c r="D1281" s="1">
        <v>22</v>
      </c>
      <c r="E1281" s="1" t="s">
        <v>0</v>
      </c>
      <c r="F1281" s="1" t="s">
        <v>4</v>
      </c>
      <c r="G1281" s="1" t="s">
        <v>7</v>
      </c>
      <c r="H1281" s="1">
        <v>10.130000000000001</v>
      </c>
      <c r="I1281" s="1">
        <v>0</v>
      </c>
      <c r="J1281" s="13">
        <v>6855</v>
      </c>
    </row>
    <row r="1282" spans="3:10" x14ac:dyDescent="0.25">
      <c r="C1282" s="3">
        <v>1277</v>
      </c>
      <c r="D1282" s="1">
        <v>32</v>
      </c>
      <c r="E1282" s="1" t="s">
        <v>0</v>
      </c>
      <c r="F1282" s="1" t="s">
        <v>4</v>
      </c>
      <c r="G1282" s="1" t="s">
        <v>6</v>
      </c>
      <c r="H1282" s="1">
        <v>9.91</v>
      </c>
      <c r="I1282" s="1">
        <v>0</v>
      </c>
      <c r="J1282" s="13">
        <v>10893</v>
      </c>
    </row>
    <row r="1283" spans="3:10" x14ac:dyDescent="0.25">
      <c r="C1283" s="3">
        <v>1278</v>
      </c>
      <c r="D1283" s="1">
        <v>39</v>
      </c>
      <c r="E1283" s="1" t="s">
        <v>3</v>
      </c>
      <c r="F1283" s="1" t="s">
        <v>1</v>
      </c>
      <c r="G1283" s="1" t="s">
        <v>7</v>
      </c>
      <c r="H1283" s="1">
        <v>9.98</v>
      </c>
      <c r="I1283" s="1">
        <v>1</v>
      </c>
      <c r="J1283" s="13">
        <v>56155</v>
      </c>
    </row>
    <row r="1284" spans="3:10" x14ac:dyDescent="0.25">
      <c r="C1284" s="3">
        <v>1279</v>
      </c>
      <c r="D1284" s="1">
        <v>25</v>
      </c>
      <c r="E1284" s="1" t="s">
        <v>0</v>
      </c>
      <c r="F1284" s="1" t="s">
        <v>4</v>
      </c>
      <c r="G1284" s="1" t="s">
        <v>6</v>
      </c>
      <c r="H1284" s="1">
        <v>8.93</v>
      </c>
      <c r="I1284" s="1">
        <v>2</v>
      </c>
      <c r="J1284" s="13">
        <v>10473</v>
      </c>
    </row>
    <row r="1285" spans="3:10" x14ac:dyDescent="0.25">
      <c r="C1285" s="3">
        <v>1280</v>
      </c>
      <c r="D1285" s="1">
        <v>48</v>
      </c>
      <c r="E1285" s="1" t="s">
        <v>0</v>
      </c>
      <c r="F1285" s="1" t="s">
        <v>4</v>
      </c>
      <c r="G1285" s="1" t="s">
        <v>5</v>
      </c>
      <c r="H1285" s="1">
        <v>11.11</v>
      </c>
      <c r="I1285" s="1">
        <v>0</v>
      </c>
      <c r="J1285" s="13">
        <v>20709</v>
      </c>
    </row>
    <row r="1286" spans="3:10" x14ac:dyDescent="0.25">
      <c r="C1286" s="3">
        <v>1281</v>
      </c>
      <c r="D1286" s="1">
        <v>47</v>
      </c>
      <c r="E1286" s="1" t="s">
        <v>0</v>
      </c>
      <c r="F1286" s="1" t="s">
        <v>1</v>
      </c>
      <c r="G1286" s="1" t="s">
        <v>6</v>
      </c>
      <c r="H1286" s="1">
        <v>9.2200000000000006</v>
      </c>
      <c r="I1286" s="1">
        <v>2</v>
      </c>
      <c r="J1286" s="13">
        <v>61339</v>
      </c>
    </row>
    <row r="1287" spans="3:10" x14ac:dyDescent="0.25">
      <c r="C1287" s="3">
        <v>1282</v>
      </c>
      <c r="D1287" s="1">
        <v>18</v>
      </c>
      <c r="E1287" s="1" t="s">
        <v>0</v>
      </c>
      <c r="F1287" s="1" t="s">
        <v>1</v>
      </c>
      <c r="G1287" s="1" t="s">
        <v>7</v>
      </c>
      <c r="H1287" s="1">
        <v>7.22</v>
      </c>
      <c r="I1287" s="1">
        <v>0</v>
      </c>
      <c r="J1287" s="13">
        <v>35709</v>
      </c>
    </row>
    <row r="1288" spans="3:10" x14ac:dyDescent="0.25">
      <c r="C1288" s="3">
        <v>1283</v>
      </c>
      <c r="D1288" s="1">
        <v>18</v>
      </c>
      <c r="E1288" s="1" t="s">
        <v>3</v>
      </c>
      <c r="F1288" s="1" t="s">
        <v>4</v>
      </c>
      <c r="G1288" s="1" t="s">
        <v>5</v>
      </c>
      <c r="H1288" s="1">
        <v>10.01</v>
      </c>
      <c r="I1288" s="1">
        <v>1</v>
      </c>
      <c r="J1288" s="13">
        <v>4301</v>
      </c>
    </row>
    <row r="1289" spans="3:10" x14ac:dyDescent="0.25">
      <c r="C1289" s="3">
        <v>1284</v>
      </c>
      <c r="D1289" s="1">
        <v>61</v>
      </c>
      <c r="E1289" s="1" t="s">
        <v>3</v>
      </c>
      <c r="F1289" s="1" t="s">
        <v>1</v>
      </c>
      <c r="G1289" s="1" t="s">
        <v>2</v>
      </c>
      <c r="H1289" s="1">
        <v>12.1</v>
      </c>
      <c r="I1289" s="1">
        <v>1</v>
      </c>
      <c r="J1289" s="13">
        <v>118510</v>
      </c>
    </row>
    <row r="1290" spans="3:10" x14ac:dyDescent="0.25">
      <c r="C1290" s="3">
        <v>1285</v>
      </c>
      <c r="D1290" s="1">
        <v>47</v>
      </c>
      <c r="E1290" s="1" t="s">
        <v>0</v>
      </c>
      <c r="F1290" s="1" t="s">
        <v>4</v>
      </c>
      <c r="G1290" s="1" t="s">
        <v>7</v>
      </c>
      <c r="H1290" s="1">
        <v>8.11</v>
      </c>
      <c r="I1290" s="1">
        <v>0</v>
      </c>
      <c r="J1290" s="13">
        <v>21337</v>
      </c>
    </row>
    <row r="1291" spans="3:10" x14ac:dyDescent="0.25">
      <c r="C1291" s="3">
        <v>1286</v>
      </c>
      <c r="D1291" s="1">
        <v>28</v>
      </c>
      <c r="E1291" s="1" t="s">
        <v>0</v>
      </c>
      <c r="F1291" s="1" t="s">
        <v>4</v>
      </c>
      <c r="G1291" s="1" t="s">
        <v>7</v>
      </c>
      <c r="H1291" s="1">
        <v>5.76</v>
      </c>
      <c r="I1291" s="1">
        <v>0</v>
      </c>
      <c r="J1291" s="13">
        <v>9332</v>
      </c>
    </row>
    <row r="1292" spans="3:10" x14ac:dyDescent="0.25">
      <c r="C1292" s="3">
        <v>1287</v>
      </c>
      <c r="D1292" s="1">
        <v>36</v>
      </c>
      <c r="E1292" s="1" t="s">
        <v>0</v>
      </c>
      <c r="F1292" s="1" t="s">
        <v>4</v>
      </c>
      <c r="G1292" s="1" t="s">
        <v>2</v>
      </c>
      <c r="H1292" s="1">
        <v>8.6300000000000008</v>
      </c>
      <c r="I1292" s="1">
        <v>1</v>
      </c>
      <c r="J1292" s="13">
        <v>13681</v>
      </c>
    </row>
    <row r="1293" spans="3:10" x14ac:dyDescent="0.25">
      <c r="C1293" s="3">
        <v>1288</v>
      </c>
      <c r="D1293" s="1">
        <v>20</v>
      </c>
      <c r="E1293" s="1" t="s">
        <v>3</v>
      </c>
      <c r="F1293" s="1" t="s">
        <v>1</v>
      </c>
      <c r="G1293" s="1" t="s">
        <v>2</v>
      </c>
      <c r="H1293" s="1">
        <v>13.13</v>
      </c>
      <c r="I1293" s="1">
        <v>2</v>
      </c>
      <c r="J1293" s="13">
        <v>95861</v>
      </c>
    </row>
    <row r="1294" spans="3:10" x14ac:dyDescent="0.25">
      <c r="C1294" s="3">
        <v>1289</v>
      </c>
      <c r="D1294" s="1">
        <v>44</v>
      </c>
      <c r="E1294" s="1" t="s">
        <v>3</v>
      </c>
      <c r="F1294" s="1" t="s">
        <v>4</v>
      </c>
      <c r="G1294" s="1" t="s">
        <v>5</v>
      </c>
      <c r="H1294" s="1">
        <v>11.44</v>
      </c>
      <c r="I1294" s="1">
        <v>1</v>
      </c>
      <c r="J1294" s="13">
        <v>17869</v>
      </c>
    </row>
    <row r="1295" spans="3:10" x14ac:dyDescent="0.25">
      <c r="C1295" s="3">
        <v>1290</v>
      </c>
      <c r="D1295" s="1">
        <v>38</v>
      </c>
      <c r="E1295" s="1" t="s">
        <v>0</v>
      </c>
      <c r="F1295" s="1" t="s">
        <v>4</v>
      </c>
      <c r="G1295" s="1" t="s">
        <v>7</v>
      </c>
      <c r="H1295" s="1">
        <v>6.65</v>
      </c>
      <c r="I1295" s="1">
        <v>2</v>
      </c>
      <c r="J1295" s="13">
        <v>17835</v>
      </c>
    </row>
    <row r="1296" spans="3:10" x14ac:dyDescent="0.25">
      <c r="C1296" s="3">
        <v>1291</v>
      </c>
      <c r="D1296" s="1">
        <v>19</v>
      </c>
      <c r="E1296" s="1" t="s">
        <v>3</v>
      </c>
      <c r="F1296" s="1" t="s">
        <v>1</v>
      </c>
      <c r="G1296" s="1" t="s">
        <v>2</v>
      </c>
      <c r="H1296" s="1">
        <v>11.63</v>
      </c>
      <c r="I1296" s="1">
        <v>0</v>
      </c>
      <c r="J1296" s="13">
        <v>87072</v>
      </c>
    </row>
    <row r="1297" spans="3:10" x14ac:dyDescent="0.25">
      <c r="C1297" s="3">
        <v>1292</v>
      </c>
      <c r="D1297" s="1">
        <v>21</v>
      </c>
      <c r="E1297" s="1" t="s">
        <v>3</v>
      </c>
      <c r="F1297" s="1" t="s">
        <v>4</v>
      </c>
      <c r="G1297" s="1" t="s">
        <v>5</v>
      </c>
      <c r="H1297" s="1">
        <v>7.74</v>
      </c>
      <c r="I1297" s="1">
        <v>0</v>
      </c>
      <c r="J1297" s="13">
        <v>3788</v>
      </c>
    </row>
    <row r="1298" spans="3:10" x14ac:dyDescent="0.25">
      <c r="C1298" s="3">
        <v>1293</v>
      </c>
      <c r="D1298" s="1">
        <v>46</v>
      </c>
      <c r="E1298" s="1" t="s">
        <v>3</v>
      </c>
      <c r="F1298" s="1" t="s">
        <v>4</v>
      </c>
      <c r="G1298" s="1" t="s">
        <v>6</v>
      </c>
      <c r="H1298" s="1">
        <v>8.58</v>
      </c>
      <c r="I1298" s="1">
        <v>3</v>
      </c>
      <c r="J1298" s="13">
        <v>23255</v>
      </c>
    </row>
    <row r="1299" spans="3:10" x14ac:dyDescent="0.25">
      <c r="C1299" s="3">
        <v>1294</v>
      </c>
      <c r="D1299" s="1">
        <v>58</v>
      </c>
      <c r="E1299" s="1" t="s">
        <v>3</v>
      </c>
      <c r="F1299" s="1" t="s">
        <v>4</v>
      </c>
      <c r="G1299" s="1" t="s">
        <v>7</v>
      </c>
      <c r="H1299" s="1">
        <v>8.39</v>
      </c>
      <c r="I1299" s="1">
        <v>0</v>
      </c>
      <c r="J1299" s="13">
        <v>29828</v>
      </c>
    </row>
    <row r="1300" spans="3:10" x14ac:dyDescent="0.25">
      <c r="C1300" s="3">
        <v>1295</v>
      </c>
      <c r="D1300" s="1">
        <v>20</v>
      </c>
      <c r="E1300" s="1" t="s">
        <v>3</v>
      </c>
      <c r="F1300" s="1" t="s">
        <v>4</v>
      </c>
      <c r="G1300" s="1" t="s">
        <v>2</v>
      </c>
      <c r="H1300" s="1">
        <v>7.33</v>
      </c>
      <c r="I1300" s="1">
        <v>1</v>
      </c>
      <c r="J1300" s="13">
        <v>4912</v>
      </c>
    </row>
    <row r="1301" spans="3:10" x14ac:dyDescent="0.25">
      <c r="C1301" s="3">
        <v>1296</v>
      </c>
      <c r="D1301" s="1">
        <v>18</v>
      </c>
      <c r="E1301" s="1" t="s">
        <v>3</v>
      </c>
      <c r="F1301" s="1" t="s">
        <v>4</v>
      </c>
      <c r="G1301" s="1" t="s">
        <v>7</v>
      </c>
      <c r="H1301" s="1">
        <v>8.7100000000000009</v>
      </c>
      <c r="I1301" s="1">
        <v>0</v>
      </c>
      <c r="J1301" s="13">
        <v>4272</v>
      </c>
    </row>
    <row r="1302" spans="3:10" x14ac:dyDescent="0.25">
      <c r="C1302" s="3">
        <v>1297</v>
      </c>
      <c r="D1302" s="1">
        <v>28</v>
      </c>
      <c r="E1302" s="1" t="s">
        <v>0</v>
      </c>
      <c r="F1302" s="1" t="s">
        <v>4</v>
      </c>
      <c r="G1302" s="1" t="s">
        <v>5</v>
      </c>
      <c r="H1302" s="1">
        <v>8.84</v>
      </c>
      <c r="I1302" s="1">
        <v>2</v>
      </c>
      <c r="J1302" s="13">
        <v>10851</v>
      </c>
    </row>
    <row r="1303" spans="3:10" x14ac:dyDescent="0.25">
      <c r="C1303" s="3">
        <v>1298</v>
      </c>
      <c r="D1303" s="1">
        <v>33</v>
      </c>
      <c r="E1303" s="1" t="s">
        <v>3</v>
      </c>
      <c r="F1303" s="1" t="s">
        <v>4</v>
      </c>
      <c r="G1303" s="1" t="s">
        <v>6</v>
      </c>
      <c r="H1303" s="1">
        <v>9.15</v>
      </c>
      <c r="I1303" s="1">
        <v>2</v>
      </c>
      <c r="J1303" s="13">
        <v>13154</v>
      </c>
    </row>
    <row r="1304" spans="3:10" x14ac:dyDescent="0.25">
      <c r="C1304" s="3">
        <v>1299</v>
      </c>
      <c r="D1304" s="1">
        <v>19</v>
      </c>
      <c r="E1304" s="1" t="s">
        <v>0</v>
      </c>
      <c r="F1304" s="1" t="s">
        <v>4</v>
      </c>
      <c r="G1304" s="1" t="s">
        <v>6</v>
      </c>
      <c r="H1304" s="1">
        <v>8.58</v>
      </c>
      <c r="I1304" s="1">
        <v>1</v>
      </c>
      <c r="J1304" s="13">
        <v>6777</v>
      </c>
    </row>
    <row r="1305" spans="3:10" x14ac:dyDescent="0.25">
      <c r="C1305" s="3">
        <v>1300</v>
      </c>
      <c r="D1305" s="1">
        <v>45</v>
      </c>
      <c r="E1305" s="1" t="s">
        <v>3</v>
      </c>
      <c r="F1305" s="1" t="s">
        <v>1</v>
      </c>
      <c r="G1305" s="1" t="s">
        <v>5</v>
      </c>
      <c r="H1305" s="1">
        <v>10.119999999999999</v>
      </c>
      <c r="I1305" s="1">
        <v>0</v>
      </c>
      <c r="J1305" s="13">
        <v>156482</v>
      </c>
    </row>
    <row r="1306" spans="3:10" x14ac:dyDescent="0.25">
      <c r="C1306" s="3">
        <v>1301</v>
      </c>
      <c r="D1306" s="1">
        <v>62</v>
      </c>
      <c r="E1306" s="1" t="s">
        <v>3</v>
      </c>
      <c r="F1306" s="1" t="s">
        <v>1</v>
      </c>
      <c r="G1306" s="1" t="s">
        <v>6</v>
      </c>
      <c r="H1306" s="1">
        <v>10.29</v>
      </c>
      <c r="I1306" s="1">
        <v>3</v>
      </c>
      <c r="J1306" s="13">
        <v>116795</v>
      </c>
    </row>
    <row r="1307" spans="3:10" x14ac:dyDescent="0.25">
      <c r="C1307" s="3">
        <v>1302</v>
      </c>
      <c r="D1307" s="1">
        <v>25</v>
      </c>
      <c r="E1307" s="1" t="s">
        <v>0</v>
      </c>
      <c r="F1307" s="1" t="s">
        <v>4</v>
      </c>
      <c r="G1307" s="1" t="s">
        <v>2</v>
      </c>
      <c r="H1307" s="1">
        <v>6.93</v>
      </c>
      <c r="I1307" s="1">
        <v>1</v>
      </c>
      <c r="J1307" s="13">
        <v>8022</v>
      </c>
    </row>
    <row r="1308" spans="3:10" x14ac:dyDescent="0.25">
      <c r="C1308" s="3">
        <v>1303</v>
      </c>
      <c r="D1308" s="1">
        <v>43</v>
      </c>
      <c r="E1308" s="1" t="s">
        <v>3</v>
      </c>
      <c r="F1308" s="1" t="s">
        <v>1</v>
      </c>
      <c r="G1308" s="1" t="s">
        <v>2</v>
      </c>
      <c r="H1308" s="1">
        <v>9.27</v>
      </c>
      <c r="I1308" s="1">
        <v>0</v>
      </c>
      <c r="J1308" s="13">
        <v>94574</v>
      </c>
    </row>
    <row r="1309" spans="3:10" x14ac:dyDescent="0.25">
      <c r="C1309" s="3">
        <v>1304</v>
      </c>
      <c r="D1309" s="1">
        <v>42</v>
      </c>
      <c r="E1309" s="1" t="s">
        <v>3</v>
      </c>
      <c r="F1309" s="1" t="s">
        <v>1</v>
      </c>
      <c r="G1309" s="1" t="s">
        <v>7</v>
      </c>
      <c r="H1309" s="1">
        <v>8.1999999999999993</v>
      </c>
      <c r="I1309" s="1">
        <v>2</v>
      </c>
      <c r="J1309" s="13">
        <v>53148</v>
      </c>
    </row>
    <row r="1310" spans="3:10" x14ac:dyDescent="0.25">
      <c r="C1310" s="3">
        <v>1305</v>
      </c>
      <c r="D1310" s="1">
        <v>24</v>
      </c>
      <c r="E1310" s="1" t="s">
        <v>0</v>
      </c>
      <c r="F1310" s="1" t="s">
        <v>4</v>
      </c>
      <c r="G1310" s="1" t="s">
        <v>5</v>
      </c>
      <c r="H1310" s="1">
        <v>9.24</v>
      </c>
      <c r="I1310" s="1">
        <v>0</v>
      </c>
      <c r="J1310" s="13">
        <v>6162</v>
      </c>
    </row>
    <row r="1311" spans="3:10" x14ac:dyDescent="0.25">
      <c r="C1311" s="3">
        <v>1306</v>
      </c>
      <c r="D1311" s="1">
        <v>29</v>
      </c>
      <c r="E1311" s="1" t="s">
        <v>0</v>
      </c>
      <c r="F1311" s="1" t="s">
        <v>1</v>
      </c>
      <c r="G1311" s="1" t="s">
        <v>7</v>
      </c>
      <c r="H1311" s="1">
        <v>7.28</v>
      </c>
      <c r="I1311" s="1">
        <v>0</v>
      </c>
      <c r="J1311" s="13">
        <v>40288</v>
      </c>
    </row>
    <row r="1312" spans="3:10" x14ac:dyDescent="0.25">
      <c r="C1312" s="3">
        <v>1307</v>
      </c>
      <c r="D1312" s="1">
        <v>32</v>
      </c>
      <c r="E1312" s="1" t="s">
        <v>3</v>
      </c>
      <c r="F1312" s="1" t="s">
        <v>1</v>
      </c>
      <c r="G1312" s="1" t="s">
        <v>6</v>
      </c>
      <c r="H1312" s="1">
        <v>9.3699999999999992</v>
      </c>
      <c r="I1312" s="1">
        <v>4</v>
      </c>
      <c r="J1312" s="13">
        <v>53681</v>
      </c>
    </row>
    <row r="1313" spans="3:10" x14ac:dyDescent="0.25">
      <c r="C1313" s="3">
        <v>1308</v>
      </c>
      <c r="D1313" s="1">
        <v>25</v>
      </c>
      <c r="E1313" s="1" t="s">
        <v>0</v>
      </c>
      <c r="F1313" s="1" t="s">
        <v>1</v>
      </c>
      <c r="G1313" s="1" t="s">
        <v>2</v>
      </c>
      <c r="H1313" s="1">
        <v>10.07</v>
      </c>
      <c r="I1313" s="1">
        <v>0</v>
      </c>
      <c r="J1313" s="13">
        <v>84752</v>
      </c>
    </row>
    <row r="1314" spans="3:10" x14ac:dyDescent="0.25">
      <c r="C1314" s="3">
        <v>1309</v>
      </c>
      <c r="D1314" s="1">
        <v>41</v>
      </c>
      <c r="E1314" s="1" t="s">
        <v>3</v>
      </c>
      <c r="F1314" s="1" t="s">
        <v>4</v>
      </c>
      <c r="G1314" s="1" t="s">
        <v>2</v>
      </c>
      <c r="H1314" s="1">
        <v>10.73</v>
      </c>
      <c r="I1314" s="1">
        <v>2</v>
      </c>
      <c r="J1314" s="13">
        <v>17190</v>
      </c>
    </row>
    <row r="1315" spans="3:10" x14ac:dyDescent="0.25">
      <c r="C1315" s="3">
        <v>1310</v>
      </c>
      <c r="D1315" s="1">
        <v>42</v>
      </c>
      <c r="E1315" s="1" t="s">
        <v>3</v>
      </c>
      <c r="F1315" s="1" t="s">
        <v>4</v>
      </c>
      <c r="G1315" s="1" t="s">
        <v>6</v>
      </c>
      <c r="H1315" s="1">
        <v>8.77</v>
      </c>
      <c r="I1315" s="1">
        <v>1</v>
      </c>
      <c r="J1315" s="13">
        <v>17352</v>
      </c>
    </row>
    <row r="1316" spans="3:10" x14ac:dyDescent="0.25">
      <c r="C1316" s="3">
        <v>1311</v>
      </c>
      <c r="D1316" s="1">
        <v>33</v>
      </c>
      <c r="E1316" s="1" t="s">
        <v>0</v>
      </c>
      <c r="F1316" s="1" t="s">
        <v>4</v>
      </c>
      <c r="G1316" s="1" t="s">
        <v>6</v>
      </c>
      <c r="H1316" s="1">
        <v>8.9</v>
      </c>
      <c r="I1316" s="1">
        <v>0</v>
      </c>
      <c r="J1316" s="13">
        <v>11429</v>
      </c>
    </row>
    <row r="1317" spans="3:10" x14ac:dyDescent="0.25">
      <c r="C1317" s="3">
        <v>1312</v>
      </c>
      <c r="D1317" s="1">
        <v>34</v>
      </c>
      <c r="E1317" s="1" t="s">
        <v>3</v>
      </c>
      <c r="F1317" s="1" t="s">
        <v>4</v>
      </c>
      <c r="G1317" s="1" t="s">
        <v>2</v>
      </c>
      <c r="H1317" s="1">
        <v>14.3</v>
      </c>
      <c r="I1317" s="1">
        <v>1</v>
      </c>
      <c r="J1317" s="13">
        <v>11341</v>
      </c>
    </row>
    <row r="1318" spans="3:10" x14ac:dyDescent="0.25">
      <c r="C1318" s="3">
        <v>1313</v>
      </c>
      <c r="D1318" s="1">
        <v>19</v>
      </c>
      <c r="E1318" s="1" t="s">
        <v>0</v>
      </c>
      <c r="F1318" s="1" t="s">
        <v>1</v>
      </c>
      <c r="G1318" s="1" t="s">
        <v>2</v>
      </c>
      <c r="H1318" s="1">
        <v>11.57</v>
      </c>
      <c r="I1318" s="1">
        <v>2</v>
      </c>
      <c r="J1318" s="13">
        <v>90994</v>
      </c>
    </row>
    <row r="1319" spans="3:10" x14ac:dyDescent="0.25">
      <c r="C1319" s="3">
        <v>1314</v>
      </c>
      <c r="D1319" s="1">
        <v>30</v>
      </c>
      <c r="E1319" s="1" t="s">
        <v>0</v>
      </c>
      <c r="F1319" s="1" t="s">
        <v>1</v>
      </c>
      <c r="G1319" s="1" t="s">
        <v>6</v>
      </c>
      <c r="H1319" s="1">
        <v>7.89</v>
      </c>
      <c r="I1319" s="1">
        <v>3</v>
      </c>
      <c r="J1319" s="13">
        <v>46915</v>
      </c>
    </row>
    <row r="1320" spans="3:10" x14ac:dyDescent="0.25">
      <c r="C1320" s="3">
        <v>1315</v>
      </c>
      <c r="D1320" s="1">
        <v>18</v>
      </c>
      <c r="E1320" s="1" t="s">
        <v>3</v>
      </c>
      <c r="F1320" s="1" t="s">
        <v>4</v>
      </c>
      <c r="G1320" s="1" t="s">
        <v>7</v>
      </c>
      <c r="H1320" s="1">
        <v>9.44</v>
      </c>
      <c r="I1320" s="1">
        <v>1</v>
      </c>
      <c r="J1320" s="13">
        <v>28181</v>
      </c>
    </row>
    <row r="1321" spans="3:10" x14ac:dyDescent="0.25">
      <c r="C1321" s="3">
        <v>1316</v>
      </c>
      <c r="D1321" s="1">
        <v>19</v>
      </c>
      <c r="E1321" s="1" t="s">
        <v>0</v>
      </c>
      <c r="F1321" s="1" t="s">
        <v>4</v>
      </c>
      <c r="G1321" s="1" t="s">
        <v>2</v>
      </c>
      <c r="H1321" s="1">
        <v>6.87</v>
      </c>
      <c r="I1321" s="1">
        <v>0</v>
      </c>
      <c r="J1321" s="13">
        <v>4329</v>
      </c>
    </row>
    <row r="1322" spans="3:10" x14ac:dyDescent="0.25">
      <c r="C1322" s="3">
        <v>1317</v>
      </c>
      <c r="D1322" s="1">
        <v>18</v>
      </c>
      <c r="E1322" s="1" t="s">
        <v>3</v>
      </c>
      <c r="F1322" s="1" t="s">
        <v>4</v>
      </c>
      <c r="G1322" s="1" t="s">
        <v>5</v>
      </c>
      <c r="H1322" s="1">
        <v>17.71</v>
      </c>
      <c r="I1322" s="1">
        <v>0</v>
      </c>
      <c r="J1322" s="13">
        <v>2909</v>
      </c>
    </row>
    <row r="1323" spans="3:10" x14ac:dyDescent="0.25">
      <c r="C1323" s="3">
        <v>1318</v>
      </c>
      <c r="D1323" s="1">
        <v>35</v>
      </c>
      <c r="E1323" s="1" t="s">
        <v>3</v>
      </c>
      <c r="F1323" s="1" t="s">
        <v>4</v>
      </c>
      <c r="G1323" s="1" t="s">
        <v>7</v>
      </c>
      <c r="H1323" s="1">
        <v>13.24</v>
      </c>
      <c r="I1323" s="1">
        <v>4</v>
      </c>
      <c r="J1323" s="13">
        <v>48742</v>
      </c>
    </row>
    <row r="1324" spans="3:10" x14ac:dyDescent="0.25">
      <c r="C1324" s="3">
        <v>1319</v>
      </c>
      <c r="D1324" s="1">
        <v>39</v>
      </c>
      <c r="E1324" s="1" t="s">
        <v>0</v>
      </c>
      <c r="F1324" s="1" t="s">
        <v>4</v>
      </c>
      <c r="G1324" s="1" t="s">
        <v>6</v>
      </c>
      <c r="H1324" s="1">
        <v>8.77</v>
      </c>
      <c r="I1324" s="1">
        <v>2</v>
      </c>
      <c r="J1324" s="13">
        <v>18004</v>
      </c>
    </row>
    <row r="1325" spans="3:10" x14ac:dyDescent="0.25">
      <c r="C1325" s="3">
        <v>1320</v>
      </c>
      <c r="D1325" s="1">
        <v>31</v>
      </c>
      <c r="E1325" s="1" t="s">
        <v>3</v>
      </c>
      <c r="F1325" s="1" t="s">
        <v>4</v>
      </c>
      <c r="G1325" s="1" t="s">
        <v>6</v>
      </c>
      <c r="H1325" s="1">
        <v>10.36</v>
      </c>
      <c r="I1325" s="1">
        <v>3</v>
      </c>
      <c r="J1325" s="13">
        <v>13563</v>
      </c>
    </row>
    <row r="1326" spans="3:10" x14ac:dyDescent="0.25">
      <c r="C1326" s="3">
        <v>1321</v>
      </c>
      <c r="D1326" s="1">
        <v>62</v>
      </c>
      <c r="E1326" s="1" t="s">
        <v>3</v>
      </c>
      <c r="F1326" s="1" t="s">
        <v>1</v>
      </c>
      <c r="G1326" s="1" t="s">
        <v>7</v>
      </c>
      <c r="H1326" s="1">
        <v>8.9</v>
      </c>
      <c r="I1326" s="1">
        <v>0</v>
      </c>
      <c r="J1326" s="13">
        <v>70253</v>
      </c>
    </row>
    <row r="1327" spans="3:10" x14ac:dyDescent="0.25">
      <c r="C1327" s="3">
        <v>1322</v>
      </c>
      <c r="D1327" s="1">
        <v>62</v>
      </c>
      <c r="E1327" s="1" t="s">
        <v>3</v>
      </c>
      <c r="F1327" s="1" t="s">
        <v>4</v>
      </c>
      <c r="G1327" s="1" t="s">
        <v>5</v>
      </c>
      <c r="H1327" s="1">
        <v>12.94</v>
      </c>
      <c r="I1327" s="1">
        <v>0</v>
      </c>
      <c r="J1327" s="13">
        <v>32453</v>
      </c>
    </row>
    <row r="1328" spans="3:10" x14ac:dyDescent="0.25">
      <c r="C1328" s="3">
        <v>1323</v>
      </c>
      <c r="D1328" s="1">
        <v>42</v>
      </c>
      <c r="E1328" s="1" t="s">
        <v>0</v>
      </c>
      <c r="F1328" s="1" t="s">
        <v>1</v>
      </c>
      <c r="G1328" s="1" t="s">
        <v>5</v>
      </c>
      <c r="H1328" s="1">
        <v>13.46</v>
      </c>
      <c r="I1328" s="1">
        <v>2</v>
      </c>
      <c r="J1328" s="13">
        <v>109741</v>
      </c>
    </row>
    <row r="1329" spans="3:10" x14ac:dyDescent="0.25">
      <c r="C1329" s="3">
        <v>1324</v>
      </c>
      <c r="D1329" s="1">
        <v>31</v>
      </c>
      <c r="E1329" s="1" t="s">
        <v>3</v>
      </c>
      <c r="F1329" s="1" t="s">
        <v>4</v>
      </c>
      <c r="G1329" s="1" t="s">
        <v>6</v>
      </c>
      <c r="H1329" s="1">
        <v>8.64</v>
      </c>
      <c r="I1329" s="1">
        <v>1</v>
      </c>
      <c r="J1329" s="13">
        <v>10600</v>
      </c>
    </row>
    <row r="1330" spans="3:10" x14ac:dyDescent="0.25">
      <c r="C1330" s="3">
        <v>1325</v>
      </c>
      <c r="D1330" s="1">
        <v>61</v>
      </c>
      <c r="E1330" s="1" t="s">
        <v>3</v>
      </c>
      <c r="F1330" s="1" t="s">
        <v>4</v>
      </c>
      <c r="G1330" s="1" t="s">
        <v>7</v>
      </c>
      <c r="H1330" s="1">
        <v>11.18</v>
      </c>
      <c r="I1330" s="1">
        <v>0</v>
      </c>
      <c r="J1330" s="13">
        <v>32858</v>
      </c>
    </row>
    <row r="1331" spans="3:10" x14ac:dyDescent="0.25">
      <c r="C1331" s="3">
        <v>1326</v>
      </c>
      <c r="D1331" s="1">
        <v>42</v>
      </c>
      <c r="E1331" s="1" t="s">
        <v>0</v>
      </c>
      <c r="F1331" s="1" t="s">
        <v>4</v>
      </c>
      <c r="G1331" s="1" t="s">
        <v>7</v>
      </c>
      <c r="H1331" s="1">
        <v>10.96</v>
      </c>
      <c r="I1331" s="1">
        <v>0</v>
      </c>
      <c r="J1331" s="13">
        <v>17625</v>
      </c>
    </row>
    <row r="1332" spans="3:10" x14ac:dyDescent="0.25">
      <c r="C1332" s="3">
        <v>1327</v>
      </c>
      <c r="D1332" s="1">
        <v>51</v>
      </c>
      <c r="E1332" s="1" t="s">
        <v>3</v>
      </c>
      <c r="F1332" s="1" t="s">
        <v>4</v>
      </c>
      <c r="G1332" s="1" t="s">
        <v>5</v>
      </c>
      <c r="H1332" s="1">
        <v>10.01</v>
      </c>
      <c r="I1332" s="1">
        <v>1</v>
      </c>
      <c r="J1332" s="13">
        <v>23445</v>
      </c>
    </row>
    <row r="1333" spans="3:10" x14ac:dyDescent="0.25">
      <c r="C1333" s="3">
        <v>1328</v>
      </c>
      <c r="D1333" s="1">
        <v>23</v>
      </c>
      <c r="E1333" s="1" t="s">
        <v>0</v>
      </c>
      <c r="F1333" s="1" t="s">
        <v>4</v>
      </c>
      <c r="G1333" s="1" t="s">
        <v>7</v>
      </c>
      <c r="H1333" s="1">
        <v>8.08</v>
      </c>
      <c r="I1333" s="1">
        <v>2</v>
      </c>
      <c r="J1333" s="13">
        <v>55989</v>
      </c>
    </row>
    <row r="1334" spans="3:10" x14ac:dyDescent="0.25">
      <c r="C1334" s="3">
        <v>1329</v>
      </c>
      <c r="D1334" s="1">
        <v>52</v>
      </c>
      <c r="E1334" s="1" t="s">
        <v>3</v>
      </c>
      <c r="F1334" s="1" t="s">
        <v>4</v>
      </c>
      <c r="G1334" s="1" t="s">
        <v>2</v>
      </c>
      <c r="H1334" s="1">
        <v>12.87</v>
      </c>
      <c r="I1334" s="1">
        <v>2</v>
      </c>
      <c r="J1334" s="13">
        <v>25813</v>
      </c>
    </row>
    <row r="1335" spans="3:10" x14ac:dyDescent="0.25">
      <c r="C1335" s="3">
        <v>1330</v>
      </c>
      <c r="D1335" s="1">
        <v>57</v>
      </c>
      <c r="E1335" s="1" t="s">
        <v>0</v>
      </c>
      <c r="F1335" s="1" t="s">
        <v>4</v>
      </c>
      <c r="G1335" s="1" t="s">
        <v>5</v>
      </c>
      <c r="H1335" s="1">
        <v>8.58</v>
      </c>
      <c r="I1335" s="1">
        <v>2</v>
      </c>
      <c r="J1335" s="13">
        <v>31573</v>
      </c>
    </row>
    <row r="1336" spans="3:10" x14ac:dyDescent="0.25">
      <c r="C1336" s="3">
        <v>1331</v>
      </c>
      <c r="D1336" s="1">
        <v>23</v>
      </c>
      <c r="E1336" s="1" t="s">
        <v>0</v>
      </c>
      <c r="F1336" s="1" t="s">
        <v>4</v>
      </c>
      <c r="G1336" s="1" t="s">
        <v>2</v>
      </c>
      <c r="H1336" s="1">
        <v>11.13</v>
      </c>
      <c r="I1336" s="1">
        <v>0</v>
      </c>
      <c r="J1336" s="13">
        <v>26990</v>
      </c>
    </row>
    <row r="1337" spans="3:10" x14ac:dyDescent="0.25">
      <c r="C1337" s="3">
        <v>1332</v>
      </c>
      <c r="D1337" s="1">
        <v>52</v>
      </c>
      <c r="E1337" s="1" t="s">
        <v>0</v>
      </c>
      <c r="F1337" s="1" t="s">
        <v>4</v>
      </c>
      <c r="G1337" s="1" t="s">
        <v>2</v>
      </c>
      <c r="H1337" s="1">
        <v>14.9</v>
      </c>
      <c r="I1337" s="1">
        <v>3</v>
      </c>
      <c r="J1337" s="13">
        <v>28529</v>
      </c>
    </row>
    <row r="1338" spans="3:10" x14ac:dyDescent="0.25">
      <c r="C1338" s="3">
        <v>1333</v>
      </c>
      <c r="D1338" s="1">
        <v>50</v>
      </c>
      <c r="E1338" s="1" t="s">
        <v>3</v>
      </c>
      <c r="F1338" s="1" t="s">
        <v>4</v>
      </c>
      <c r="G1338" s="1" t="s">
        <v>6</v>
      </c>
      <c r="H1338" s="1">
        <v>10.32</v>
      </c>
      <c r="I1338" s="1">
        <v>3</v>
      </c>
      <c r="J1338" s="13">
        <v>26501</v>
      </c>
    </row>
    <row r="1339" spans="3:10" x14ac:dyDescent="0.25">
      <c r="C1339" s="3">
        <v>1334</v>
      </c>
      <c r="D1339" s="1">
        <v>18</v>
      </c>
      <c r="E1339" s="1" t="s">
        <v>0</v>
      </c>
      <c r="F1339" s="1" t="s">
        <v>4</v>
      </c>
      <c r="G1339" s="1" t="s">
        <v>7</v>
      </c>
      <c r="H1339" s="1">
        <v>10.64</v>
      </c>
      <c r="I1339" s="1">
        <v>0</v>
      </c>
      <c r="J1339" s="13">
        <v>5515</v>
      </c>
    </row>
    <row r="1340" spans="3:10" x14ac:dyDescent="0.25">
      <c r="C1340" s="3">
        <v>1335</v>
      </c>
      <c r="D1340" s="1">
        <v>18</v>
      </c>
      <c r="E1340" s="1" t="s">
        <v>0</v>
      </c>
      <c r="F1340" s="1" t="s">
        <v>4</v>
      </c>
      <c r="G1340" s="1" t="s">
        <v>5</v>
      </c>
      <c r="H1340" s="1">
        <v>12.28</v>
      </c>
      <c r="I1340" s="1">
        <v>0</v>
      </c>
      <c r="J1340" s="13">
        <v>4075</v>
      </c>
    </row>
    <row r="1341" spans="3:10" x14ac:dyDescent="0.25">
      <c r="C1341" s="3">
        <v>1336</v>
      </c>
      <c r="D1341" s="1">
        <v>21</v>
      </c>
      <c r="E1341" s="1" t="s">
        <v>0</v>
      </c>
      <c r="F1341" s="1" t="s">
        <v>4</v>
      </c>
      <c r="G1341" s="1" t="s">
        <v>2</v>
      </c>
      <c r="H1341" s="1">
        <v>8.6</v>
      </c>
      <c r="I1341" s="1">
        <v>0</v>
      </c>
      <c r="J1341" s="13">
        <v>5020</v>
      </c>
    </row>
    <row r="1342" spans="3:10" ht="15.75" thickBot="1" x14ac:dyDescent="0.3">
      <c r="C1342" s="4">
        <v>1337</v>
      </c>
      <c r="D1342" s="5">
        <v>61</v>
      </c>
      <c r="E1342" s="5" t="s">
        <v>0</v>
      </c>
      <c r="F1342" s="5" t="s">
        <v>1</v>
      </c>
      <c r="G1342" s="5" t="s">
        <v>6</v>
      </c>
      <c r="H1342" s="5">
        <v>9.69</v>
      </c>
      <c r="I1342" s="5">
        <v>0</v>
      </c>
      <c r="J1342" s="14">
        <v>72853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Problem Statement</vt:lpstr>
      <vt:lpstr>Executive Summary</vt:lpstr>
      <vt:lpstr>Recoomendations</vt:lpstr>
      <vt:lpstr>Univariate Analysis</vt:lpstr>
      <vt:lpstr>Hypothesis Testing - Smoking</vt:lpstr>
      <vt:lpstr>Correlation - Viral</vt:lpstr>
      <vt:lpstr>ANOVA - Severity</vt:lpstr>
      <vt:lpstr>Chi Square - Regions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Morajkar</dc:creator>
  <cp:lastModifiedBy>Ankit Morajkar</cp:lastModifiedBy>
  <dcterms:created xsi:type="dcterms:W3CDTF">2015-06-05T18:17:20Z</dcterms:created>
  <dcterms:modified xsi:type="dcterms:W3CDTF">2025-11-19T10:25:48Z</dcterms:modified>
</cp:coreProperties>
</file>